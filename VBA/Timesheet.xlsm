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3c39a55cc294e0b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esktop\"/>
    </mc:Choice>
  </mc:AlternateContent>
  <bookViews>
    <workbookView xWindow="0" yWindow="0" windowWidth="25200" windowHeight="12435"/>
  </bookViews>
  <sheets>
    <sheet name="Timesheet" sheetId="2" r:id="rId1"/>
    <sheet name="Timezone" sheetId="8" state="veryHidden" r:id="rId2"/>
    <sheet name="Error Log" sheetId="6" state="veryHidden" r:id="rId3"/>
  </sheets>
  <functionGroups builtInGroupCount="18"/>
  <definedNames>
    <definedName name="_xlnm.Print_Titles" localSheetId="0">Timesheet!$1:$1</definedName>
  </definedNames>
  <calcPr calcId="162913"/>
</workbook>
</file>

<file path=xl/calcChain.xml><?xml version="1.0" encoding="utf-8"?>
<calcChain xmlns="http://schemas.openxmlformats.org/spreadsheetml/2006/main">
  <c r="A6" i="2" l="1"/>
  <c r="B6" i="2"/>
  <c r="C6" i="2"/>
  <c r="D6" i="2"/>
  <c r="E6" i="2"/>
  <c r="F6" i="2"/>
  <c r="K6" i="2"/>
  <c r="A5" i="2"/>
  <c r="B5" i="2"/>
  <c r="C5" i="2"/>
  <c r="D5" i="2"/>
  <c r="E5" i="2"/>
  <c r="F5" i="2"/>
  <c r="K5" i="2"/>
  <c r="A4" i="2"/>
  <c r="B4" i="2"/>
  <c r="C4" i="2"/>
  <c r="D4" i="2"/>
  <c r="E4" i="2"/>
  <c r="F4" i="2"/>
  <c r="K4" i="2"/>
  <c r="A3" i="2"/>
  <c r="B3" i="2"/>
  <c r="C3" i="2"/>
  <c r="D3" i="2"/>
  <c r="E3" i="2"/>
  <c r="F3" i="2"/>
  <c r="K3" i="2"/>
  <c r="A2" i="2"/>
  <c r="B2" i="2"/>
  <c r="C2" i="2"/>
  <c r="D2" i="2"/>
  <c r="E2" i="2"/>
  <c r="F2" i="2"/>
  <c r="K2" i="2"/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K7" i="2" l="1"/>
</calcChain>
</file>

<file path=xl/sharedStrings.xml><?xml version="1.0" encoding="utf-8"?>
<sst xmlns="http://schemas.openxmlformats.org/spreadsheetml/2006/main" count="1760" uniqueCount="1001">
  <si>
    <t>Start</t>
  </si>
  <si>
    <t>Finish</t>
  </si>
  <si>
    <t>Total Hours</t>
  </si>
  <si>
    <t>Day of Week</t>
  </si>
  <si>
    <t>Date</t>
  </si>
  <si>
    <t>Weekend</t>
  </si>
  <si>
    <t>Day</t>
  </si>
  <si>
    <t>Year</t>
  </si>
  <si>
    <t>Qtr</t>
  </si>
  <si>
    <t>Month</t>
  </si>
  <si>
    <t>Break</t>
  </si>
  <si>
    <t>tduguid</t>
  </si>
  <si>
    <t>Windows (32-bit) NT 6.01</t>
  </si>
  <si>
    <t>Hours</t>
  </si>
  <si>
    <t>User Name</t>
  </si>
  <si>
    <t>Computer Name</t>
  </si>
  <si>
    <t>Operating System</t>
  </si>
  <si>
    <t>Excel Version</t>
  </si>
  <si>
    <t>Error Datetime</t>
  </si>
  <si>
    <t>Sheet Name</t>
  </si>
  <si>
    <t>Module Name</t>
  </si>
  <si>
    <t>Procedure Name</t>
  </si>
  <si>
    <t>Error Number</t>
  </si>
  <si>
    <t>Error Description</t>
  </si>
  <si>
    <t>Ribbon_Event</t>
  </si>
  <si>
    <t>OnAction_Button</t>
  </si>
  <si>
    <t>Type mismatch</t>
  </si>
  <si>
    <t>Resolution</t>
  </si>
  <si>
    <t>Fixed case statement with multiple conditions</t>
  </si>
  <si>
    <t>Ribbon_Button</t>
  </si>
  <si>
    <t>SelectMaxWeek</t>
  </si>
  <si>
    <t>Object variable or With block variable not set</t>
  </si>
  <si>
    <t>Included check for active table selection</t>
  </si>
  <si>
    <t>Cannot download the information you requested.</t>
  </si>
  <si>
    <t>Updated the format of the date parameters for the url</t>
  </si>
  <si>
    <t>New Zealand</t>
  </si>
  <si>
    <t>Australia</t>
  </si>
  <si>
    <t>Title</t>
  </si>
  <si>
    <t>Address</t>
  </si>
  <si>
    <t>Country Code</t>
  </si>
  <si>
    <t>Country Name</t>
  </si>
  <si>
    <t>Time Zone</t>
  </si>
  <si>
    <t>GMT Offset</t>
  </si>
  <si>
    <t>AF</t>
  </si>
  <si>
    <t>Afghanistan</t>
  </si>
  <si>
    <t>Asia/Kabul</t>
  </si>
  <si>
    <t>UTC +04:30</t>
  </si>
  <si>
    <t>AX</t>
  </si>
  <si>
    <t>Aland Islands</t>
  </si>
  <si>
    <t>Europe/Mariehamn</t>
  </si>
  <si>
    <t>UTC +03:00</t>
  </si>
  <si>
    <t>AL</t>
  </si>
  <si>
    <t>Albania</t>
  </si>
  <si>
    <t>Europe/Tirane</t>
  </si>
  <si>
    <t>UTC +02:00</t>
  </si>
  <si>
    <t>DZ</t>
  </si>
  <si>
    <t>Algeria</t>
  </si>
  <si>
    <t>Africa/Algiers</t>
  </si>
  <si>
    <t>UTC +01:00</t>
  </si>
  <si>
    <t>AS</t>
  </si>
  <si>
    <t>American Samoa</t>
  </si>
  <si>
    <t>Pacific/Pago_Pago</t>
  </si>
  <si>
    <t>UTC -11:00</t>
  </si>
  <si>
    <t>AD</t>
  </si>
  <si>
    <t>Andorra</t>
  </si>
  <si>
    <t>Europe/Andorra</t>
  </si>
  <si>
    <t>AO</t>
  </si>
  <si>
    <t>Angola</t>
  </si>
  <si>
    <t>Africa/Luanda</t>
  </si>
  <si>
    <t>AI</t>
  </si>
  <si>
    <t>Anguilla</t>
  </si>
  <si>
    <t>America/Anguilla</t>
  </si>
  <si>
    <t>UTC -04:00</t>
  </si>
  <si>
    <t>AQ</t>
  </si>
  <si>
    <t>Antarctica</t>
  </si>
  <si>
    <t>Antarctica/Casey</t>
  </si>
  <si>
    <t>UTC +08:00</t>
  </si>
  <si>
    <t>Antarctica/Davis</t>
  </si>
  <si>
    <t>UTC +07:00</t>
  </si>
  <si>
    <t>Antarctica/DumontDUrville</t>
  </si>
  <si>
    <t>UTC +10:00</t>
  </si>
  <si>
    <t>Antarctica/Mawson</t>
  </si>
  <si>
    <t>UTC +05:00</t>
  </si>
  <si>
    <t>Antarctica/McMurdo</t>
  </si>
  <si>
    <t>UTC +12:00</t>
  </si>
  <si>
    <t>Antarctica/Palmer</t>
  </si>
  <si>
    <t>UTC -03:00</t>
  </si>
  <si>
    <t>Antarctica/Rothera</t>
  </si>
  <si>
    <t>Antarctica/Syowa</t>
  </si>
  <si>
    <t>Antarctica/Troll</t>
  </si>
  <si>
    <t>Antarctica/Vostok</t>
  </si>
  <si>
    <t>UTC +06:00</t>
  </si>
  <si>
    <t>AG</t>
  </si>
  <si>
    <t>Antigua and Barbuda</t>
  </si>
  <si>
    <t>America/Antigua</t>
  </si>
  <si>
    <t>AR</t>
  </si>
  <si>
    <t>Argentina</t>
  </si>
  <si>
    <t>America/Argentina/Buenos_Aires</t>
  </si>
  <si>
    <t>America/Argentina/Catamarca</t>
  </si>
  <si>
    <t>America/Argentina/Cordoba</t>
  </si>
  <si>
    <t>America/Argentina/Jujuy</t>
  </si>
  <si>
    <t>America/Argentina/La_Rioja</t>
  </si>
  <si>
    <t>America/Argentina/Mendoza</t>
  </si>
  <si>
    <t>America/Argentina/Rio_Gallegos</t>
  </si>
  <si>
    <t>America/Argentina/Salta</t>
  </si>
  <si>
    <t>America/Argentina/San_Juan</t>
  </si>
  <si>
    <t>America/Argentina/San_Luis</t>
  </si>
  <si>
    <t>America/Argentina/Tucuman</t>
  </si>
  <si>
    <t>America/Argentina/Ushuaia</t>
  </si>
  <si>
    <t>AM</t>
  </si>
  <si>
    <t>Armenia</t>
  </si>
  <si>
    <t>Asia/Yerevan</t>
  </si>
  <si>
    <t>UTC +04:00</t>
  </si>
  <si>
    <t>AW</t>
  </si>
  <si>
    <t>Aruba</t>
  </si>
  <si>
    <t>America/Aruba</t>
  </si>
  <si>
    <t>AU</t>
  </si>
  <si>
    <t>Antarctica/Macquarie</t>
  </si>
  <si>
    <t>UTC +11:00</t>
  </si>
  <si>
    <t>Australia/Adelaide</t>
  </si>
  <si>
    <t>UTC +09:30</t>
  </si>
  <si>
    <t>Australia/Brisbane</t>
  </si>
  <si>
    <t>Australia/Broken_Hill</t>
  </si>
  <si>
    <t>Australia/Currie</t>
  </si>
  <si>
    <t>Australia/Darwin</t>
  </si>
  <si>
    <t>Australia/Eucla</t>
  </si>
  <si>
    <t>UTC +08:45</t>
  </si>
  <si>
    <t>Australia/Hobart</t>
  </si>
  <si>
    <t>Australia/Lindeman</t>
  </si>
  <si>
    <t>Australia/Lord_Howe</t>
  </si>
  <si>
    <t>UTC +10:30</t>
  </si>
  <si>
    <t>Australia/Melbourne</t>
  </si>
  <si>
    <t>Australia/Perth</t>
  </si>
  <si>
    <t>Australia/Sydney</t>
  </si>
  <si>
    <t>AT</t>
  </si>
  <si>
    <t>Austria</t>
  </si>
  <si>
    <t>Europe/Vienna</t>
  </si>
  <si>
    <t>AZ</t>
  </si>
  <si>
    <t>Azerbaijan</t>
  </si>
  <si>
    <t>Asia/Baku</t>
  </si>
  <si>
    <t>BS</t>
  </si>
  <si>
    <t>Bahamas</t>
  </si>
  <si>
    <t>America/Nassau</t>
  </si>
  <si>
    <t>BH</t>
  </si>
  <si>
    <t>Bahrain</t>
  </si>
  <si>
    <t>Asia/Bahrain</t>
  </si>
  <si>
    <t>BD</t>
  </si>
  <si>
    <t>Bangladesh</t>
  </si>
  <si>
    <t>Asia/Dhaka</t>
  </si>
  <si>
    <t>BB</t>
  </si>
  <si>
    <t>Barbados</t>
  </si>
  <si>
    <t>America/Barbados</t>
  </si>
  <si>
    <t>BY</t>
  </si>
  <si>
    <t>Belarus</t>
  </si>
  <si>
    <t>Europe/Minsk</t>
  </si>
  <si>
    <t>BE</t>
  </si>
  <si>
    <t>Belgium</t>
  </si>
  <si>
    <t>Europe/Brussels</t>
  </si>
  <si>
    <t>BZ</t>
  </si>
  <si>
    <t>Belize</t>
  </si>
  <si>
    <t>America/Belize</t>
  </si>
  <si>
    <t>UTC -06:00</t>
  </si>
  <si>
    <t>BJ</t>
  </si>
  <si>
    <t>Benin</t>
  </si>
  <si>
    <t>Africa/Porto-Novo</t>
  </si>
  <si>
    <t>BM</t>
  </si>
  <si>
    <t>Bermuda</t>
  </si>
  <si>
    <t>Atlantic/Bermuda</t>
  </si>
  <si>
    <t>BT</t>
  </si>
  <si>
    <t>Bhutan</t>
  </si>
  <si>
    <t>Asia/Thimphu</t>
  </si>
  <si>
    <t>BO</t>
  </si>
  <si>
    <t>Bolivia</t>
  </si>
  <si>
    <t>America/La_Paz</t>
  </si>
  <si>
    <t>BQ</t>
  </si>
  <si>
    <t>Bonaire, Saint Eustatius and Saba</t>
  </si>
  <si>
    <t>America/Kralendijk</t>
  </si>
  <si>
    <t>BA</t>
  </si>
  <si>
    <t>Bosnia and Herzegovina</t>
  </si>
  <si>
    <t>Europe/Sarajevo</t>
  </si>
  <si>
    <t>BW</t>
  </si>
  <si>
    <t>Botswana</t>
  </si>
  <si>
    <t>Africa/Gaborone</t>
  </si>
  <si>
    <t>BR</t>
  </si>
  <si>
    <t>Brazil</t>
  </si>
  <si>
    <t>America/Araguaina</t>
  </si>
  <si>
    <t>America/Bahia</t>
  </si>
  <si>
    <t>America/Belem</t>
  </si>
  <si>
    <t>America/Boa_Vista</t>
  </si>
  <si>
    <t>America/Campo_Grande</t>
  </si>
  <si>
    <t>America/Cuiaba</t>
  </si>
  <si>
    <t>America/Eirunepe</t>
  </si>
  <si>
    <t>UTC -05:00</t>
  </si>
  <si>
    <t>America/Fortaleza</t>
  </si>
  <si>
    <t>America/Maceio</t>
  </si>
  <si>
    <t>America/Manaus</t>
  </si>
  <si>
    <t>America/Noronha</t>
  </si>
  <si>
    <t>UTC -02:00</t>
  </si>
  <si>
    <t>America/Porto_Velho</t>
  </si>
  <si>
    <t>America/Recife</t>
  </si>
  <si>
    <t>America/Rio_Branco</t>
  </si>
  <si>
    <t>America/Santarem</t>
  </si>
  <si>
    <t>America/Sao_Paulo</t>
  </si>
  <si>
    <t>IO</t>
  </si>
  <si>
    <t>British Indian Ocean Territory</t>
  </si>
  <si>
    <t>Indian/Chagos</t>
  </si>
  <si>
    <t>VG</t>
  </si>
  <si>
    <t>British Virgin Islands</t>
  </si>
  <si>
    <t>America/Tortola</t>
  </si>
  <si>
    <t>BN</t>
  </si>
  <si>
    <t>Brunei</t>
  </si>
  <si>
    <t>Asia/Brunei</t>
  </si>
  <si>
    <t>BG</t>
  </si>
  <si>
    <t>Bulgaria</t>
  </si>
  <si>
    <t>Europe/Sofia</t>
  </si>
  <si>
    <t>BF</t>
  </si>
  <si>
    <t>Burkina Faso</t>
  </si>
  <si>
    <t>Africa/Ouagadougou</t>
  </si>
  <si>
    <t>UTC</t>
  </si>
  <si>
    <t>BI</t>
  </si>
  <si>
    <t>Burundi</t>
  </si>
  <si>
    <t>Africa/Bujumbura</t>
  </si>
  <si>
    <t>KH</t>
  </si>
  <si>
    <t>Cambodia</t>
  </si>
  <si>
    <t>Asia/Phnom_Penh</t>
  </si>
  <si>
    <t>CM</t>
  </si>
  <si>
    <t>Cameroon</t>
  </si>
  <si>
    <t>Africa/Douala</t>
  </si>
  <si>
    <t>CA</t>
  </si>
  <si>
    <t>Canada</t>
  </si>
  <si>
    <t>America/Atikokan</t>
  </si>
  <si>
    <t>America/Blanc-Sablon</t>
  </si>
  <si>
    <t>America/Cambridge_Bay</t>
  </si>
  <si>
    <t>America/Creston</t>
  </si>
  <si>
    <t>UTC -07:00</t>
  </si>
  <si>
    <t>America/Dawson</t>
  </si>
  <si>
    <t>America/Dawson_Creek</t>
  </si>
  <si>
    <t>America/Edmonton</t>
  </si>
  <si>
    <t>America/Fort_Nelson</t>
  </si>
  <si>
    <t>America/Glace_Bay</t>
  </si>
  <si>
    <t>America/Goose_Bay</t>
  </si>
  <si>
    <t>America/Halifax</t>
  </si>
  <si>
    <t>America/Inuvik</t>
  </si>
  <si>
    <t>America/Iqaluit</t>
  </si>
  <si>
    <t>America/Moncton</t>
  </si>
  <si>
    <t>America/Nipigon</t>
  </si>
  <si>
    <t>America/Pangnirtung</t>
  </si>
  <si>
    <t>America/Rainy_River</t>
  </si>
  <si>
    <t>America/Rankin_Inlet</t>
  </si>
  <si>
    <t>America/Regina</t>
  </si>
  <si>
    <t>America/Resolute</t>
  </si>
  <si>
    <t>America/St_Johns</t>
  </si>
  <si>
    <t>UTC -02:30</t>
  </si>
  <si>
    <t>America/Swift_Current</t>
  </si>
  <si>
    <t>America/Thunder_Bay</t>
  </si>
  <si>
    <t>America/Toronto</t>
  </si>
  <si>
    <t>America/Vancouver</t>
  </si>
  <si>
    <t>America/Whitehorse</t>
  </si>
  <si>
    <t>America/Winnipeg</t>
  </si>
  <si>
    <t>America/Yellowknife</t>
  </si>
  <si>
    <t>CV</t>
  </si>
  <si>
    <t>Cape Verde</t>
  </si>
  <si>
    <t>Atlantic/Cape_Verde</t>
  </si>
  <si>
    <t>UTC -01:00</t>
  </si>
  <si>
    <t>KY</t>
  </si>
  <si>
    <t>Cayman Islands</t>
  </si>
  <si>
    <t>America/Cayman</t>
  </si>
  <si>
    <t>CF</t>
  </si>
  <si>
    <t>Central African Republic</t>
  </si>
  <si>
    <t>Africa/Bangui</t>
  </si>
  <si>
    <t>TD</t>
  </si>
  <si>
    <t>Chad</t>
  </si>
  <si>
    <t>Africa/Ndjamena</t>
  </si>
  <si>
    <t>CL</t>
  </si>
  <si>
    <t>Chile</t>
  </si>
  <si>
    <t>America/Punta_Arenas</t>
  </si>
  <si>
    <t>America/Santiago</t>
  </si>
  <si>
    <t>Pacific/Easter</t>
  </si>
  <si>
    <t>CN</t>
  </si>
  <si>
    <t>China</t>
  </si>
  <si>
    <t>Asia/Shanghai</t>
  </si>
  <si>
    <t>Asia/Urumqi</t>
  </si>
  <si>
    <t>CX</t>
  </si>
  <si>
    <t>Christmas Island</t>
  </si>
  <si>
    <t>Indian/Christmas</t>
  </si>
  <si>
    <t>CC</t>
  </si>
  <si>
    <t>Cocos Islands</t>
  </si>
  <si>
    <t>Indian/Cocos</t>
  </si>
  <si>
    <t>UTC +06:30</t>
  </si>
  <si>
    <t>CO</t>
  </si>
  <si>
    <t>Colombia</t>
  </si>
  <si>
    <t>America/Bogota</t>
  </si>
  <si>
    <t>KM</t>
  </si>
  <si>
    <t>Comoros</t>
  </si>
  <si>
    <t>Indian/Comoro</t>
  </si>
  <si>
    <t>CK</t>
  </si>
  <si>
    <t>Cook Islands</t>
  </si>
  <si>
    <t>Pacific/Rarotonga</t>
  </si>
  <si>
    <t>UTC -10:00</t>
  </si>
  <si>
    <t>CR</t>
  </si>
  <si>
    <t>Costa Rica</t>
  </si>
  <si>
    <t>America/Costa_Rica</t>
  </si>
  <si>
    <t>HR</t>
  </si>
  <si>
    <t>Croatia</t>
  </si>
  <si>
    <t>Europe/Zagreb</t>
  </si>
  <si>
    <t>CU</t>
  </si>
  <si>
    <t>Cuba</t>
  </si>
  <si>
    <t>America/Havana</t>
  </si>
  <si>
    <t>CW</t>
  </si>
  <si>
    <t>Curaçao</t>
  </si>
  <si>
    <t>America/Curacao</t>
  </si>
  <si>
    <t>CY</t>
  </si>
  <si>
    <t>Cyprus</t>
  </si>
  <si>
    <t>Asia/Famagusta</t>
  </si>
  <si>
    <t>Asia/Nicosia</t>
  </si>
  <si>
    <t>CZ</t>
  </si>
  <si>
    <t>Czech Republic</t>
  </si>
  <si>
    <t>Europe/Prague</t>
  </si>
  <si>
    <t>CD</t>
  </si>
  <si>
    <t>Democratic Republic of the Congo</t>
  </si>
  <si>
    <t>Africa/Kinshasa</t>
  </si>
  <si>
    <t>Africa/Lubumbashi</t>
  </si>
  <si>
    <t>DK</t>
  </si>
  <si>
    <t>Denmark</t>
  </si>
  <si>
    <t>Europe/Copenhagen</t>
  </si>
  <si>
    <t>DJ</t>
  </si>
  <si>
    <t>Djibouti</t>
  </si>
  <si>
    <t>Africa/Djibouti</t>
  </si>
  <si>
    <t>DM</t>
  </si>
  <si>
    <t>Dominica</t>
  </si>
  <si>
    <t>America/Dominica</t>
  </si>
  <si>
    <t>DO</t>
  </si>
  <si>
    <t>Dominican Republic</t>
  </si>
  <si>
    <t>America/Santo_Domingo</t>
  </si>
  <si>
    <t>TL</t>
  </si>
  <si>
    <t>East Timor</t>
  </si>
  <si>
    <t>Asia/Dili</t>
  </si>
  <si>
    <t>UTC +09:00</t>
  </si>
  <si>
    <t>EC</t>
  </si>
  <si>
    <t>Ecuador</t>
  </si>
  <si>
    <t>America/Guayaquil</t>
  </si>
  <si>
    <t>Pacific/Galapagos</t>
  </si>
  <si>
    <t>EG</t>
  </si>
  <si>
    <t>Egypt</t>
  </si>
  <si>
    <t>Africa/Cairo</t>
  </si>
  <si>
    <t>SV</t>
  </si>
  <si>
    <t>El Salvador</t>
  </si>
  <si>
    <t>America/El_Salvador</t>
  </si>
  <si>
    <t>GQ</t>
  </si>
  <si>
    <t>Equatorial Guinea</t>
  </si>
  <si>
    <t>Africa/Malabo</t>
  </si>
  <si>
    <t>ER</t>
  </si>
  <si>
    <t>Eritrea</t>
  </si>
  <si>
    <t>Africa/Asmara</t>
  </si>
  <si>
    <t>EE</t>
  </si>
  <si>
    <t>Estonia</t>
  </si>
  <si>
    <t>Europe/Tallinn</t>
  </si>
  <si>
    <t>ET</t>
  </si>
  <si>
    <t>Ethiopia</t>
  </si>
  <si>
    <t>Africa/Addis_Ababa</t>
  </si>
  <si>
    <t>FK</t>
  </si>
  <si>
    <t>Falkland Islands</t>
  </si>
  <si>
    <t>Atlantic/Stanley</t>
  </si>
  <si>
    <t>FO</t>
  </si>
  <si>
    <t>Faroe Islands</t>
  </si>
  <si>
    <t>Atlantic/Faroe</t>
  </si>
  <si>
    <t>FJ</t>
  </si>
  <si>
    <t>Fiji</t>
  </si>
  <si>
    <t>Pacific/Fiji</t>
  </si>
  <si>
    <t>FI</t>
  </si>
  <si>
    <t>Finland</t>
  </si>
  <si>
    <t>Europe/Helsinki</t>
  </si>
  <si>
    <t>FR</t>
  </si>
  <si>
    <t>France</t>
  </si>
  <si>
    <t>Europe/Paris</t>
  </si>
  <si>
    <t>GF</t>
  </si>
  <si>
    <t>French Guiana</t>
  </si>
  <si>
    <t>America/Cayenne</t>
  </si>
  <si>
    <t>PF</t>
  </si>
  <si>
    <t>French Polynesia</t>
  </si>
  <si>
    <t>Pacific/Gambier</t>
  </si>
  <si>
    <t>UTC -09:00</t>
  </si>
  <si>
    <t>Pacific/Marquesas</t>
  </si>
  <si>
    <t>UTC -09:30</t>
  </si>
  <si>
    <t>Pacific/Tahiti</t>
  </si>
  <si>
    <t>TF</t>
  </si>
  <si>
    <t>French Southern Territories</t>
  </si>
  <si>
    <t>Indian/Kerguelen</t>
  </si>
  <si>
    <t>GA</t>
  </si>
  <si>
    <t>Gabon</t>
  </si>
  <si>
    <t>Africa/Libreville</t>
  </si>
  <si>
    <t>GM</t>
  </si>
  <si>
    <t>Gambia</t>
  </si>
  <si>
    <t>Africa/Banjul</t>
  </si>
  <si>
    <t>GE</t>
  </si>
  <si>
    <t>Georgia</t>
  </si>
  <si>
    <t>Asia/Tbilisi</t>
  </si>
  <si>
    <t>DE</t>
  </si>
  <si>
    <t>Germany</t>
  </si>
  <si>
    <t>Europe/Berlin</t>
  </si>
  <si>
    <t>Europe/Busingen</t>
  </si>
  <si>
    <t>GH</t>
  </si>
  <si>
    <t>Ghana</t>
  </si>
  <si>
    <t>Africa/Accra</t>
  </si>
  <si>
    <t>GI</t>
  </si>
  <si>
    <t>Gibraltar</t>
  </si>
  <si>
    <t>Europe/Gibraltar</t>
  </si>
  <si>
    <t>GR</t>
  </si>
  <si>
    <t>Greece</t>
  </si>
  <si>
    <t>Europe/Athens</t>
  </si>
  <si>
    <t>GL</t>
  </si>
  <si>
    <t>Greenland</t>
  </si>
  <si>
    <t>America/Danmarkshavn</t>
  </si>
  <si>
    <t>America/Godthab</t>
  </si>
  <si>
    <t>America/Scoresbysund</t>
  </si>
  <si>
    <t>America/Thule</t>
  </si>
  <si>
    <t>GD</t>
  </si>
  <si>
    <t>Grenada</t>
  </si>
  <si>
    <t>America/Grenada</t>
  </si>
  <si>
    <t>GP</t>
  </si>
  <si>
    <t>Guadeloupe</t>
  </si>
  <si>
    <t>America/Guadeloupe</t>
  </si>
  <si>
    <t>GU</t>
  </si>
  <si>
    <t>Guam</t>
  </si>
  <si>
    <t>Pacific/Guam</t>
  </si>
  <si>
    <t>GT</t>
  </si>
  <si>
    <t>Guatemala</t>
  </si>
  <si>
    <t>America/Guatemala</t>
  </si>
  <si>
    <t>GG</t>
  </si>
  <si>
    <t>Guernsey</t>
  </si>
  <si>
    <t>Europe/Guernsey</t>
  </si>
  <si>
    <t>GN</t>
  </si>
  <si>
    <t>Guinea</t>
  </si>
  <si>
    <t>Africa/Conakry</t>
  </si>
  <si>
    <t>GW</t>
  </si>
  <si>
    <t>Guinea-Bissau</t>
  </si>
  <si>
    <t>Africa/Bissau</t>
  </si>
  <si>
    <t>GY</t>
  </si>
  <si>
    <t>Guyana</t>
  </si>
  <si>
    <t>America/Guyana</t>
  </si>
  <si>
    <t>HT</t>
  </si>
  <si>
    <t>Haiti</t>
  </si>
  <si>
    <t>America/Port-au-Prince</t>
  </si>
  <si>
    <t>HN</t>
  </si>
  <si>
    <t>Honduras</t>
  </si>
  <si>
    <t>America/Tegucigalpa</t>
  </si>
  <si>
    <t>HK</t>
  </si>
  <si>
    <t>Hong Kong</t>
  </si>
  <si>
    <t>Asia/Hong_Kong</t>
  </si>
  <si>
    <t>HU</t>
  </si>
  <si>
    <t>Hungary</t>
  </si>
  <si>
    <t>Europe/Budapest</t>
  </si>
  <si>
    <t>IS</t>
  </si>
  <si>
    <t>Iceland</t>
  </si>
  <si>
    <t>Atlantic/Reykjavik</t>
  </si>
  <si>
    <t>IN</t>
  </si>
  <si>
    <t>India</t>
  </si>
  <si>
    <t>Asia/Kolkata</t>
  </si>
  <si>
    <t>UTC +05:30</t>
  </si>
  <si>
    <t>ID</t>
  </si>
  <si>
    <t>Indonesia</t>
  </si>
  <si>
    <t>Asia/Jakarta</t>
  </si>
  <si>
    <t>Asia/Jayapura</t>
  </si>
  <si>
    <t>Asia/Makassar</t>
  </si>
  <si>
    <t>Asia/Pontianak</t>
  </si>
  <si>
    <t>IR</t>
  </si>
  <si>
    <t>Iran</t>
  </si>
  <si>
    <t>Asia/Tehran</t>
  </si>
  <si>
    <t>IQ</t>
  </si>
  <si>
    <t>Iraq</t>
  </si>
  <si>
    <t>Asia/Baghdad</t>
  </si>
  <si>
    <t>IE</t>
  </si>
  <si>
    <t>Ireland</t>
  </si>
  <si>
    <t>Europe/Dublin</t>
  </si>
  <si>
    <t>IM</t>
  </si>
  <si>
    <t>Isle of Man</t>
  </si>
  <si>
    <t>Europe/Isle_of_Man</t>
  </si>
  <si>
    <t>IL</t>
  </si>
  <si>
    <t>Israel</t>
  </si>
  <si>
    <t>Asia/Jerusalem</t>
  </si>
  <si>
    <t>IT</t>
  </si>
  <si>
    <t>Italy</t>
  </si>
  <si>
    <t>Europe/Rome</t>
  </si>
  <si>
    <t>CI</t>
  </si>
  <si>
    <t>Ivory Coast</t>
  </si>
  <si>
    <t>Africa/Abidjan</t>
  </si>
  <si>
    <t>JM</t>
  </si>
  <si>
    <t>Jamaica</t>
  </si>
  <si>
    <t>America/Jamaica</t>
  </si>
  <si>
    <t>JP</t>
  </si>
  <si>
    <t>Japan</t>
  </si>
  <si>
    <t>Asia/Tokyo</t>
  </si>
  <si>
    <t>JE</t>
  </si>
  <si>
    <t>Jersey</t>
  </si>
  <si>
    <t>Europe/Jersey</t>
  </si>
  <si>
    <t>JO</t>
  </si>
  <si>
    <t>Jordan</t>
  </si>
  <si>
    <t>Asia/Amman</t>
  </si>
  <si>
    <t>KZ</t>
  </si>
  <si>
    <t>Kazakhstan</t>
  </si>
  <si>
    <t>Asia/Almaty</t>
  </si>
  <si>
    <t>Asia/Aqtau</t>
  </si>
  <si>
    <t>Asia/Aqtobe</t>
  </si>
  <si>
    <t>Asia/Atyrau</t>
  </si>
  <si>
    <t>Asia/Oral</t>
  </si>
  <si>
    <t>Asia/Qyzylorda</t>
  </si>
  <si>
    <t>KE</t>
  </si>
  <si>
    <t>Kenya</t>
  </si>
  <si>
    <t>Africa/Nairobi</t>
  </si>
  <si>
    <t>KI</t>
  </si>
  <si>
    <t>Kiribati</t>
  </si>
  <si>
    <t>Pacific/Enderbury</t>
  </si>
  <si>
    <t>UTC +13:00</t>
  </si>
  <si>
    <t>Pacific/Kiritimati</t>
  </si>
  <si>
    <t>UTC +14:00</t>
  </si>
  <si>
    <t>Pacific/Tarawa</t>
  </si>
  <si>
    <t>KW</t>
  </si>
  <si>
    <t>Kuwait</t>
  </si>
  <si>
    <t>Asia/Kuwait</t>
  </si>
  <si>
    <t>KG</t>
  </si>
  <si>
    <t>Kyrgyzstan</t>
  </si>
  <si>
    <t>Asia/Bishkek</t>
  </si>
  <si>
    <t>LA</t>
  </si>
  <si>
    <t>Laos</t>
  </si>
  <si>
    <t>Asia/Vientiane</t>
  </si>
  <si>
    <t>LV</t>
  </si>
  <si>
    <t>Latvia</t>
  </si>
  <si>
    <t>Europe/Riga</t>
  </si>
  <si>
    <t>LB</t>
  </si>
  <si>
    <t>Lebanon</t>
  </si>
  <si>
    <t>Asia/Beirut</t>
  </si>
  <si>
    <t>LS</t>
  </si>
  <si>
    <t>Lesotho</t>
  </si>
  <si>
    <t>Africa/Maseru</t>
  </si>
  <si>
    <t>LR</t>
  </si>
  <si>
    <t>Liberia</t>
  </si>
  <si>
    <t>Africa/Monrovia</t>
  </si>
  <si>
    <t>LY</t>
  </si>
  <si>
    <t>Libya</t>
  </si>
  <si>
    <t>Africa/Tripoli</t>
  </si>
  <si>
    <t>LI</t>
  </si>
  <si>
    <t>Liechtenstein</t>
  </si>
  <si>
    <t>Europe/Vaduz</t>
  </si>
  <si>
    <t>LT</t>
  </si>
  <si>
    <t>Lithuania</t>
  </si>
  <si>
    <t>Europe/Vilnius</t>
  </si>
  <si>
    <t>LU</t>
  </si>
  <si>
    <t>Luxembourg</t>
  </si>
  <si>
    <t>Europe/Luxembourg</t>
  </si>
  <si>
    <t>MO</t>
  </si>
  <si>
    <t>Macao</t>
  </si>
  <si>
    <t>Asia/Macau</t>
  </si>
  <si>
    <t>MK</t>
  </si>
  <si>
    <t>Macedonia</t>
  </si>
  <si>
    <t>Europe/Skopje</t>
  </si>
  <si>
    <t>MG</t>
  </si>
  <si>
    <t>Madagascar</t>
  </si>
  <si>
    <t>Indian/Antananarivo</t>
  </si>
  <si>
    <t>MW</t>
  </si>
  <si>
    <t>Malawi</t>
  </si>
  <si>
    <t>Africa/Blantyre</t>
  </si>
  <si>
    <t>MY</t>
  </si>
  <si>
    <t>Malaysia</t>
  </si>
  <si>
    <t>Asia/Kuala_Lumpur</t>
  </si>
  <si>
    <t>Asia/Kuching</t>
  </si>
  <si>
    <t>MV</t>
  </si>
  <si>
    <t>Maldives</t>
  </si>
  <si>
    <t>Indian/Maldives</t>
  </si>
  <si>
    <t>ML</t>
  </si>
  <si>
    <t>Mali</t>
  </si>
  <si>
    <t>Africa/Bamako</t>
  </si>
  <si>
    <t>MT</t>
  </si>
  <si>
    <t>Malta</t>
  </si>
  <si>
    <t>Europe/Malta</t>
  </si>
  <si>
    <t>MH</t>
  </si>
  <si>
    <t>Marshall Islands</t>
  </si>
  <si>
    <t>Pacific/Kwajalein</t>
  </si>
  <si>
    <t>Pacific/Majuro</t>
  </si>
  <si>
    <t>MQ</t>
  </si>
  <si>
    <t>Martinique</t>
  </si>
  <si>
    <t>America/Martinique</t>
  </si>
  <si>
    <t>MR</t>
  </si>
  <si>
    <t>Mauritania</t>
  </si>
  <si>
    <t>Africa/Nouakchott</t>
  </si>
  <si>
    <t>MU</t>
  </si>
  <si>
    <t>Mauritius</t>
  </si>
  <si>
    <t>Indian/Mauritius</t>
  </si>
  <si>
    <t>YT</t>
  </si>
  <si>
    <t>Mayotte</t>
  </si>
  <si>
    <t>Indian/Mayotte</t>
  </si>
  <si>
    <t>MX</t>
  </si>
  <si>
    <t>Mexico</t>
  </si>
  <si>
    <t>America/Bahia_Banderas</t>
  </si>
  <si>
    <t>America/Cancun</t>
  </si>
  <si>
    <t>America/Chihuahua</t>
  </si>
  <si>
    <t>America/Hermosillo</t>
  </si>
  <si>
    <t>America/Matamoros</t>
  </si>
  <si>
    <t>America/Mazatlan</t>
  </si>
  <si>
    <t>America/Merida</t>
  </si>
  <si>
    <t>America/Mexico_City</t>
  </si>
  <si>
    <t>America/Monterrey</t>
  </si>
  <si>
    <t>America/Ojinaga</t>
  </si>
  <si>
    <t>America/Tijuana</t>
  </si>
  <si>
    <t>FM</t>
  </si>
  <si>
    <t>Micronesia</t>
  </si>
  <si>
    <t>Pacific/Chuuk</t>
  </si>
  <si>
    <t>Pacific/Kosrae</t>
  </si>
  <si>
    <t>Pacific/Pohnpei</t>
  </si>
  <si>
    <t>MD</t>
  </si>
  <si>
    <t>Moldova</t>
  </si>
  <si>
    <t>Europe/Chisinau</t>
  </si>
  <si>
    <t>MC</t>
  </si>
  <si>
    <t>Monaco</t>
  </si>
  <si>
    <t>Europe/Monaco</t>
  </si>
  <si>
    <t>MN</t>
  </si>
  <si>
    <t>Mongolia</t>
  </si>
  <si>
    <t>Asia/Choibalsan</t>
  </si>
  <si>
    <t>Asia/Hovd</t>
  </si>
  <si>
    <t>Asia/Ulaanbaatar</t>
  </si>
  <si>
    <t>ME</t>
  </si>
  <si>
    <t>Montenegro</t>
  </si>
  <si>
    <t>Europe/Podgorica</t>
  </si>
  <si>
    <t>MS</t>
  </si>
  <si>
    <t>Montserrat</t>
  </si>
  <si>
    <t>America/Montserrat</t>
  </si>
  <si>
    <t>MA</t>
  </si>
  <si>
    <t>Morocco</t>
  </si>
  <si>
    <t>Africa/Casablanca</t>
  </si>
  <si>
    <t>MZ</t>
  </si>
  <si>
    <t>Mozambique</t>
  </si>
  <si>
    <t>Africa/Maputo</t>
  </si>
  <si>
    <t>MM</t>
  </si>
  <si>
    <t>Myanmar</t>
  </si>
  <si>
    <t>Asia/Yangon</t>
  </si>
  <si>
    <t>NA</t>
  </si>
  <si>
    <t>Namibia</t>
  </si>
  <si>
    <t>Africa/Windhoek</t>
  </si>
  <si>
    <t>NR</t>
  </si>
  <si>
    <t>Nauru</t>
  </si>
  <si>
    <t>Pacific/Nauru</t>
  </si>
  <si>
    <t>NP</t>
  </si>
  <si>
    <t>Nepal</t>
  </si>
  <si>
    <t>Asia/Kathmandu</t>
  </si>
  <si>
    <t>UTC +05:45</t>
  </si>
  <si>
    <t>NL</t>
  </si>
  <si>
    <t>Netherlands</t>
  </si>
  <si>
    <t>Europe/Amsterdam</t>
  </si>
  <si>
    <t>NC</t>
  </si>
  <si>
    <t>New Caledonia</t>
  </si>
  <si>
    <t>Pacific/Noumea</t>
  </si>
  <si>
    <t>NZ</t>
  </si>
  <si>
    <t>Pacific/Auckland</t>
  </si>
  <si>
    <t>Pacific/Chatham</t>
  </si>
  <si>
    <t>UTC +12:45</t>
  </si>
  <si>
    <t>NI</t>
  </si>
  <si>
    <t>Nicaragua</t>
  </si>
  <si>
    <t>America/Managua</t>
  </si>
  <si>
    <t>NE</t>
  </si>
  <si>
    <t>Niger</t>
  </si>
  <si>
    <t>Africa/Niamey</t>
  </si>
  <si>
    <t>NG</t>
  </si>
  <si>
    <t>Nigeria</t>
  </si>
  <si>
    <t>Africa/Lagos</t>
  </si>
  <si>
    <t>NU</t>
  </si>
  <si>
    <t>Niue</t>
  </si>
  <si>
    <t>Pacific/Niue</t>
  </si>
  <si>
    <t>NF</t>
  </si>
  <si>
    <t>Norfolk Island</t>
  </si>
  <si>
    <t>Pacific/Norfolk</t>
  </si>
  <si>
    <t>KP</t>
  </si>
  <si>
    <t>North Korea</t>
  </si>
  <si>
    <t>Asia/Pyongyang</t>
  </si>
  <si>
    <t>MP</t>
  </si>
  <si>
    <t>Northern Mariana Islands</t>
  </si>
  <si>
    <t>Pacific/Saipan</t>
  </si>
  <si>
    <t>NO</t>
  </si>
  <si>
    <t>Norway</t>
  </si>
  <si>
    <t>Europe/Oslo</t>
  </si>
  <si>
    <t>OM</t>
  </si>
  <si>
    <t>Oman</t>
  </si>
  <si>
    <t>Asia/Muscat</t>
  </si>
  <si>
    <t>PK</t>
  </si>
  <si>
    <t>Pakistan</t>
  </si>
  <si>
    <t>Asia/Karachi</t>
  </si>
  <si>
    <t>PW</t>
  </si>
  <si>
    <t>Palau</t>
  </si>
  <si>
    <t>Pacific/Palau</t>
  </si>
  <si>
    <t>PS</t>
  </si>
  <si>
    <t>Palestinian Territory</t>
  </si>
  <si>
    <t>Asia/Gaza</t>
  </si>
  <si>
    <t>Asia/Hebron</t>
  </si>
  <si>
    <t>PA</t>
  </si>
  <si>
    <t>Panama</t>
  </si>
  <si>
    <t>America/Panama</t>
  </si>
  <si>
    <t>PG</t>
  </si>
  <si>
    <t>Papua New Guinea</t>
  </si>
  <si>
    <t>Pacific/Bougainville</t>
  </si>
  <si>
    <t>Pacific/Port_Moresby</t>
  </si>
  <si>
    <t>PY</t>
  </si>
  <si>
    <t>Paraguay</t>
  </si>
  <si>
    <t>America/Asuncion</t>
  </si>
  <si>
    <t>PE</t>
  </si>
  <si>
    <t>Peru</t>
  </si>
  <si>
    <t>America/Lima</t>
  </si>
  <si>
    <t>PH</t>
  </si>
  <si>
    <t>Philippines</t>
  </si>
  <si>
    <t>Asia/Manila</t>
  </si>
  <si>
    <t>PN</t>
  </si>
  <si>
    <t>Pitcairn</t>
  </si>
  <si>
    <t>Pacific/Pitcairn</t>
  </si>
  <si>
    <t>UTC -08:00</t>
  </si>
  <si>
    <t>PL</t>
  </si>
  <si>
    <t>Poland</t>
  </si>
  <si>
    <t>Europe/Warsaw</t>
  </si>
  <si>
    <t>PT</t>
  </si>
  <si>
    <t>Portugal</t>
  </si>
  <si>
    <t>Atlantic/Azores</t>
  </si>
  <si>
    <t>Atlantic/Madeira</t>
  </si>
  <si>
    <t>Europe/Lisbon</t>
  </si>
  <si>
    <t>PR</t>
  </si>
  <si>
    <t>Puerto Rico</t>
  </si>
  <si>
    <t>America/Puerto_Rico</t>
  </si>
  <si>
    <t>QA</t>
  </si>
  <si>
    <t>Qatar</t>
  </si>
  <si>
    <t>Asia/Qatar</t>
  </si>
  <si>
    <t>CG</t>
  </si>
  <si>
    <t>Republic of the Congo</t>
  </si>
  <si>
    <t>Africa/Brazzaville</t>
  </si>
  <si>
    <t>RE</t>
  </si>
  <si>
    <t>Reunion</t>
  </si>
  <si>
    <t>Indian/Reunion</t>
  </si>
  <si>
    <t>RO</t>
  </si>
  <si>
    <t>Romania</t>
  </si>
  <si>
    <t>Europe/Bucharest</t>
  </si>
  <si>
    <t>RU</t>
  </si>
  <si>
    <t>Russia</t>
  </si>
  <si>
    <t>Asia/Anadyr</t>
  </si>
  <si>
    <t>Asia/Barnaul</t>
  </si>
  <si>
    <t>Asia/Chita</t>
  </si>
  <si>
    <t>Asia/Irkutsk</t>
  </si>
  <si>
    <t>Asia/Kamchatka</t>
  </si>
  <si>
    <t>Asia/Khandyga</t>
  </si>
  <si>
    <t>Asia/Krasnoyarsk</t>
  </si>
  <si>
    <t>Asia/Magadan</t>
  </si>
  <si>
    <t>Asia/Novokuznetsk</t>
  </si>
  <si>
    <t>Asia/Novosibirsk</t>
  </si>
  <si>
    <t>Asia/Omsk</t>
  </si>
  <si>
    <t>Asia/Sakhalin</t>
  </si>
  <si>
    <t>Asia/Srednekolymsk</t>
  </si>
  <si>
    <t>Asia/Tomsk</t>
  </si>
  <si>
    <t>Asia/Ust-Nera</t>
  </si>
  <si>
    <t>Asia/Vladivostok</t>
  </si>
  <si>
    <t>Asia/Yakutsk</t>
  </si>
  <si>
    <t>Asia/Yekaterinburg</t>
  </si>
  <si>
    <t>Europe/Astrakhan</t>
  </si>
  <si>
    <t>Europe/Kaliningrad</t>
  </si>
  <si>
    <t>Europe/Kirov</t>
  </si>
  <si>
    <t>Europe/Moscow</t>
  </si>
  <si>
    <t>Europe/Samara</t>
  </si>
  <si>
    <t>Europe/Saratov</t>
  </si>
  <si>
    <t>Europe/Simferopol</t>
  </si>
  <si>
    <t>Europe/Ulyanovsk</t>
  </si>
  <si>
    <t>Europe/Volgograd</t>
  </si>
  <si>
    <t>RW</t>
  </si>
  <si>
    <t>Rwanda</t>
  </si>
  <si>
    <t>Africa/Kigali</t>
  </si>
  <si>
    <t>BL</t>
  </si>
  <si>
    <t>Saint Barthélemy</t>
  </si>
  <si>
    <t>America/St_Barthelemy</t>
  </si>
  <si>
    <t>SH</t>
  </si>
  <si>
    <t>Saint Helena</t>
  </si>
  <si>
    <t>Atlantic/St_Helena</t>
  </si>
  <si>
    <t>KN</t>
  </si>
  <si>
    <t>Saint Kitts and Nevis</t>
  </si>
  <si>
    <t>America/St_Kitts</t>
  </si>
  <si>
    <t>LC</t>
  </si>
  <si>
    <t>Saint Lucia</t>
  </si>
  <si>
    <t>America/St_Lucia</t>
  </si>
  <si>
    <t>MF</t>
  </si>
  <si>
    <t>Saint Martin</t>
  </si>
  <si>
    <t>America/Marigot</t>
  </si>
  <si>
    <t>PM</t>
  </si>
  <si>
    <t>Saint Pierre and Miquelon</t>
  </si>
  <si>
    <t>America/Miquelon</t>
  </si>
  <si>
    <t>VC</t>
  </si>
  <si>
    <t>Saint Vincent and the Grenadines</t>
  </si>
  <si>
    <t>America/St_Vincent</t>
  </si>
  <si>
    <t>WS</t>
  </si>
  <si>
    <t>Samoa</t>
  </si>
  <si>
    <t>Pacific/Apia</t>
  </si>
  <si>
    <t>SM</t>
  </si>
  <si>
    <t>San Marino</t>
  </si>
  <si>
    <t>Europe/San_Marino</t>
  </si>
  <si>
    <t>ST</t>
  </si>
  <si>
    <t>Sao Tome and Principe</t>
  </si>
  <si>
    <t>Africa/Sao_Tome</t>
  </si>
  <si>
    <t>SA</t>
  </si>
  <si>
    <t>Saudi Arabia</t>
  </si>
  <si>
    <t>Asia/Riyadh</t>
  </si>
  <si>
    <t>SN</t>
  </si>
  <si>
    <t>Senegal</t>
  </si>
  <si>
    <t>Africa/Dakar</t>
  </si>
  <si>
    <t>RS</t>
  </si>
  <si>
    <t>Serbia</t>
  </si>
  <si>
    <t>Europe/Belgrade</t>
  </si>
  <si>
    <t>SC</t>
  </si>
  <si>
    <t>Seychelles</t>
  </si>
  <si>
    <t>Indian/Mahe</t>
  </si>
  <si>
    <t>SL</t>
  </si>
  <si>
    <t>Sierra Leone</t>
  </si>
  <si>
    <t>Africa/Freetown</t>
  </si>
  <si>
    <t>SG</t>
  </si>
  <si>
    <t>Singapore</t>
  </si>
  <si>
    <t>Asia/Singapore</t>
  </si>
  <si>
    <t>SX</t>
  </si>
  <si>
    <t>Sint Maarten</t>
  </si>
  <si>
    <t>America/Lower_Princes</t>
  </si>
  <si>
    <t>SK</t>
  </si>
  <si>
    <t>Slovakia</t>
  </si>
  <si>
    <t>Europe/Bratislava</t>
  </si>
  <si>
    <t>SI</t>
  </si>
  <si>
    <t>Slovenia</t>
  </si>
  <si>
    <t>Europe/Ljubljana</t>
  </si>
  <si>
    <t>SB</t>
  </si>
  <si>
    <t>Solomon Islands</t>
  </si>
  <si>
    <t>Pacific/Guadalcanal</t>
  </si>
  <si>
    <t>SO</t>
  </si>
  <si>
    <t>Somalia</t>
  </si>
  <si>
    <t>Africa/Mogadishu</t>
  </si>
  <si>
    <t>ZA</t>
  </si>
  <si>
    <t>South Africa</t>
  </si>
  <si>
    <t>Africa/Johannesburg</t>
  </si>
  <si>
    <t>GS</t>
  </si>
  <si>
    <t>South Georgia and the South Sandwich Islands</t>
  </si>
  <si>
    <t>Atlantic/South_Georgia</t>
  </si>
  <si>
    <t>KR</t>
  </si>
  <si>
    <t>South Korea</t>
  </si>
  <si>
    <t>Asia/Seoul</t>
  </si>
  <si>
    <t>SS</t>
  </si>
  <si>
    <t>South Sudan</t>
  </si>
  <si>
    <t>Africa/Juba</t>
  </si>
  <si>
    <t>ES</t>
  </si>
  <si>
    <t>Spain</t>
  </si>
  <si>
    <t>Africa/Ceuta</t>
  </si>
  <si>
    <t>Atlantic/Canary</t>
  </si>
  <si>
    <t>Europe/Madrid</t>
  </si>
  <si>
    <t>LK</t>
  </si>
  <si>
    <t>Sri Lanka</t>
  </si>
  <si>
    <t>Asia/Colombo</t>
  </si>
  <si>
    <t>SD</t>
  </si>
  <si>
    <t>Sudan</t>
  </si>
  <si>
    <t>Africa/Khartoum</t>
  </si>
  <si>
    <t>SR</t>
  </si>
  <si>
    <t>Suriname</t>
  </si>
  <si>
    <t>America/Paramaribo</t>
  </si>
  <si>
    <t>SJ</t>
  </si>
  <si>
    <t>Svalbard and Jan Mayen</t>
  </si>
  <si>
    <t>Arctic/Longyearbyen</t>
  </si>
  <si>
    <t>SZ</t>
  </si>
  <si>
    <t>Swaziland</t>
  </si>
  <si>
    <t>Africa/Mbabane</t>
  </si>
  <si>
    <t>SE</t>
  </si>
  <si>
    <t>Sweden</t>
  </si>
  <si>
    <t>Europe/Stockholm</t>
  </si>
  <si>
    <t>CH</t>
  </si>
  <si>
    <t>Switzerland</t>
  </si>
  <si>
    <t>Europe/Zurich</t>
  </si>
  <si>
    <t>SY</t>
  </si>
  <si>
    <t>Syria</t>
  </si>
  <si>
    <t>Asia/Damascus</t>
  </si>
  <si>
    <t>TW</t>
  </si>
  <si>
    <t>Taiwan</t>
  </si>
  <si>
    <t>Asia/Taipei</t>
  </si>
  <si>
    <t>TJ</t>
  </si>
  <si>
    <t>Tajikistan</t>
  </si>
  <si>
    <t>Asia/Dushanbe</t>
  </si>
  <si>
    <t>TZ</t>
  </si>
  <si>
    <t>Tanzania</t>
  </si>
  <si>
    <t>Africa/Dar_es_Salaam</t>
  </si>
  <si>
    <t>TH</t>
  </si>
  <si>
    <t>Thailand</t>
  </si>
  <si>
    <t>Asia/Bangkok</t>
  </si>
  <si>
    <t>TG</t>
  </si>
  <si>
    <t>Togo</t>
  </si>
  <si>
    <t>Africa/Lome</t>
  </si>
  <si>
    <t>TK</t>
  </si>
  <si>
    <t>Tokelau</t>
  </si>
  <si>
    <t>Pacific/Fakaofo</t>
  </si>
  <si>
    <t>TO</t>
  </si>
  <si>
    <t>Tonga</t>
  </si>
  <si>
    <t>Pacific/Tongatapu</t>
  </si>
  <si>
    <t>TT</t>
  </si>
  <si>
    <t>Trinidad and Tobago</t>
  </si>
  <si>
    <t>America/Port_of_Spain</t>
  </si>
  <si>
    <t>TN</t>
  </si>
  <si>
    <t>Tunisia</t>
  </si>
  <si>
    <t>Africa/Tunis</t>
  </si>
  <si>
    <t>TR</t>
  </si>
  <si>
    <t>Turkey</t>
  </si>
  <si>
    <t>Europe/Istanbul</t>
  </si>
  <si>
    <t>TM</t>
  </si>
  <si>
    <t>Turkmenistan</t>
  </si>
  <si>
    <t>Asia/Ashgabat</t>
  </si>
  <si>
    <t>TC</t>
  </si>
  <si>
    <t>Turks and Caicos Islands</t>
  </si>
  <si>
    <t>America/Grand_Turk</t>
  </si>
  <si>
    <t>TV</t>
  </si>
  <si>
    <t>Tuvalu</t>
  </si>
  <si>
    <t>Pacific/Funafuti</t>
  </si>
  <si>
    <t>VI</t>
  </si>
  <si>
    <t>U.S. Virgin Islands</t>
  </si>
  <si>
    <t>America/St_Thomas</t>
  </si>
  <si>
    <t>UG</t>
  </si>
  <si>
    <t>Uganda</t>
  </si>
  <si>
    <t>Africa/Kampala</t>
  </si>
  <si>
    <t>UA</t>
  </si>
  <si>
    <t>Ukraine</t>
  </si>
  <si>
    <t>Europe/Kiev</t>
  </si>
  <si>
    <t>Europe/Uzhgorod</t>
  </si>
  <si>
    <t>Europe/Zaporozhye</t>
  </si>
  <si>
    <t>AE</t>
  </si>
  <si>
    <t>United Arab Emirates</t>
  </si>
  <si>
    <t>Asia/Dubai</t>
  </si>
  <si>
    <t>GB</t>
  </si>
  <si>
    <t>United Kingdom</t>
  </si>
  <si>
    <t>Europe/London</t>
  </si>
  <si>
    <t>US</t>
  </si>
  <si>
    <t>United States</t>
  </si>
  <si>
    <t>America/Adak</t>
  </si>
  <si>
    <t>America/Anchorage</t>
  </si>
  <si>
    <t>America/Boise</t>
  </si>
  <si>
    <t>America/Chicago</t>
  </si>
  <si>
    <t>America/Denver</t>
  </si>
  <si>
    <t>America/Detroit</t>
  </si>
  <si>
    <t>America/Indiana/Indianapolis</t>
  </si>
  <si>
    <t>America/Indiana/Knox</t>
  </si>
  <si>
    <t>America/Indiana/Marengo</t>
  </si>
  <si>
    <t>America/Indiana/Petersburg</t>
  </si>
  <si>
    <t>America/Indiana/Tell_City</t>
  </si>
  <si>
    <t>America/Indiana/Vevay</t>
  </si>
  <si>
    <t>America/Indiana/Vincennes</t>
  </si>
  <si>
    <t>America/Indiana/Winamac</t>
  </si>
  <si>
    <t>America/Juneau</t>
  </si>
  <si>
    <t>America/Kentucky/Louisville</t>
  </si>
  <si>
    <t>America/Kentucky/Monticello</t>
  </si>
  <si>
    <t>America/Los_Angeles</t>
  </si>
  <si>
    <t>America/Menominee</t>
  </si>
  <si>
    <t>America/Metlakatla</t>
  </si>
  <si>
    <t>America/New_York</t>
  </si>
  <si>
    <t>America/Nome</t>
  </si>
  <si>
    <t>America/North_Dakota/Beulah</t>
  </si>
  <si>
    <t>America/North_Dakota/Center</t>
  </si>
  <si>
    <t>America/North_Dakota/New_Salem</t>
  </si>
  <si>
    <t>America/Phoenix</t>
  </si>
  <si>
    <t>America/Sitka</t>
  </si>
  <si>
    <t>America/Yakutat</t>
  </si>
  <si>
    <t>Pacific/Honolulu</t>
  </si>
  <si>
    <t>UM</t>
  </si>
  <si>
    <t>United States Minor Outlying Islands</t>
  </si>
  <si>
    <t>Pacific/Midway</t>
  </si>
  <si>
    <t>Pacific/Wake</t>
  </si>
  <si>
    <t>UY</t>
  </si>
  <si>
    <t>Uruguay</t>
  </si>
  <si>
    <t>America/Montevideo</t>
  </si>
  <si>
    <t>UZ</t>
  </si>
  <si>
    <t>Uzbekistan</t>
  </si>
  <si>
    <t>Asia/Samarkand</t>
  </si>
  <si>
    <t>Asia/Tashkent</t>
  </si>
  <si>
    <t>VU</t>
  </si>
  <si>
    <t>Vanuatu</t>
  </si>
  <si>
    <t>Pacific/Efate</t>
  </si>
  <si>
    <t>VA</t>
  </si>
  <si>
    <t>Vatican</t>
  </si>
  <si>
    <t>Europe/Vatican</t>
  </si>
  <si>
    <t>VE</t>
  </si>
  <si>
    <t>Venezuela</t>
  </si>
  <si>
    <t>America/Caracas</t>
  </si>
  <si>
    <t>VN</t>
  </si>
  <si>
    <t>Vietnam</t>
  </si>
  <si>
    <t>Asia/Ho_Chi_Minh</t>
  </si>
  <si>
    <t>WF</t>
  </si>
  <si>
    <t>Wallis and Futuna</t>
  </si>
  <si>
    <t>Pacific/Wallis</t>
  </si>
  <si>
    <t>EH</t>
  </si>
  <si>
    <t>Western Sahara</t>
  </si>
  <si>
    <t>Africa/El_Aaiun</t>
  </si>
  <si>
    <t>YE</t>
  </si>
  <si>
    <t>Yemen</t>
  </si>
  <si>
    <t>Asia/Aden</t>
  </si>
  <si>
    <t>ZM</t>
  </si>
  <si>
    <t>Zambia</t>
  </si>
  <si>
    <t>Africa/Lusaka</t>
  </si>
  <si>
    <t>ZW</t>
  </si>
  <si>
    <t>Zimbabwe</t>
  </si>
  <si>
    <t>Africa/Harare</t>
  </si>
  <si>
    <t>UTC +00:00</t>
  </si>
  <si>
    <t>AddGoogleTimeline</t>
  </si>
  <si>
    <t>NB61300907</t>
  </si>
  <si>
    <t>Timesheet</t>
  </si>
  <si>
    <t>GetItemLabel</t>
  </si>
  <si>
    <t>Subscript out of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</si>
</sst>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m\-yyyy"/>
    <numFmt numFmtId="165" formatCode="dddd"/>
    <numFmt numFmtId="166" formatCode="dd\-mmm\-yyyy\ hh:mm"/>
    <numFmt numFmtId="167" formatCode="hh:mm"/>
  </numFmts>
  <fonts count="4" x14ac:knownFonts="1">
    <font>
      <sz val="10"/>
      <name val="Arial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/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wrapText="1"/>
    </xf>
    <xf numFmtId="15" fontId="1" fillId="0" borderId="0" xfId="0" applyNumberFormat="1" applyFont="1" applyFill="1" applyBorder="1"/>
    <xf numFmtId="49" fontId="1" fillId="0" borderId="0" xfId="0" applyNumberFormat="1" applyFont="1" applyFill="1" applyBorder="1"/>
    <xf numFmtId="15" fontId="1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164" fontId="3" fillId="0" borderId="0" xfId="0" applyNumberFormat="1" applyFont="1" applyFill="1" applyBorder="1" applyAlignment="1">
      <alignment horizontal="center"/>
    </xf>
    <xf numFmtId="20" fontId="3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0" xfId="0" applyFont="1"/>
    <xf numFmtId="166" fontId="3" fillId="0" borderId="0" xfId="0" applyNumberFormat="1" applyFont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165" fontId="3" fillId="0" borderId="0" xfId="0" applyNumberFormat="1" applyFont="1" applyFill="1" applyBorder="1" applyAlignment="1">
      <alignment horizontal="left"/>
    </xf>
    <xf numFmtId="20" fontId="3" fillId="0" borderId="0" xfId="0" applyNumberFormat="1" applyFont="1" applyFill="1" applyBorder="1" applyAlignment="1">
      <alignment horizontal="left"/>
    </xf>
    <xf numFmtId="0" fontId="3" fillId="0" borderId="0" xfId="0" applyFont="1" applyAlignment="1">
      <alignment horizontal="center" vertical="center"/>
    </xf>
    <xf numFmtId="167" fontId="3" fillId="0" borderId="0" xfId="0" applyNumberFormat="1" applyFont="1" applyFill="1" applyBorder="1" applyAlignment="1">
      <alignment horizontal="center"/>
    </xf>
    <xf numFmtId="2" fontId="3" fillId="0" borderId="0" xfId="0" applyNumberFormat="1" applyFont="1" applyFill="1" applyBorder="1" applyAlignment="1">
      <alignment horizontal="right" vertical="center" wrapText="1"/>
    </xf>
    <xf numFmtId="0" fontId="1" fillId="0" borderId="0" xfId="0" applyFont="1" applyFill="1" applyBorder="1" applyAlignment="1">
      <alignment horizontal="right"/>
    </xf>
    <xf numFmtId="2" fontId="3" fillId="0" borderId="0" xfId="0" applyNumberFormat="1" applyFont="1" applyFill="1" applyBorder="1" applyAlignment="1">
      <alignment horizontal="left" vertical="center" wrapText="1"/>
    </xf>
    <xf numFmtId="0" fontId="1" fillId="0" borderId="2" xfId="0" applyFont="1" applyFill="1" applyBorder="1" applyAlignment="1">
      <alignment horizontal="center" vertical="center" wrapText="1"/>
    </xf>
    <xf numFmtId="2" fontId="3" fillId="0" borderId="0" xfId="0" applyNumberFormat="1" applyFont="1" applyFill="1" applyBorder="1" applyAlignment="1">
      <alignment horizontal="right"/>
    </xf>
    <xf numFmtId="20" fontId="3" fillId="0" borderId="1" xfId="0" applyNumberFormat="1" applyFont="1" applyFill="1" applyBorder="1" applyAlignment="1">
      <alignment horizontal="left"/>
    </xf>
  </cellXfs>
  <cellStyles count="1">
    <cellStyle name="Normal" xfId="0" builtinId="0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rgb="FFFFFF99"/>
        </patternFill>
      </fill>
    </dxf>
    <dxf>
      <fill>
        <patternFill>
          <bgColor rgb="FFF8CABE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d\-mmm\-yyyy\ 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  <color rgb="FFF6CCC0"/>
      <color rgb="FFF8CABE"/>
      <color rgb="FFF4A994"/>
      <color rgb="FFEE9982"/>
      <color rgb="FFF0A8A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imesheet" displayName="Timesheet" ref="A1:M7" totalsRowCount="1" headerRowDxfId="53" dataDxfId="51" totalsRowDxfId="49" headerRowBorderDxfId="52" tableBorderDxfId="50" totalsRowBorderDxfId="48">
  <autoFilter ref="A1:M6"/>
  <sortState ref="A2:M156">
    <sortCondition ref="G2:G156"/>
    <sortCondition ref="H2:H156"/>
    <sortCondition ref="I2:I156"/>
  </sortState>
  <tableColumns count="13">
    <tableColumn id="9" name="Year" dataDxfId="47" totalsRowDxfId="12">
      <calculatedColumnFormula>TEXT(Timesheet[[#This Row],[Date]], "yyyy")</calculatedColumnFormula>
    </tableColumn>
    <tableColumn id="8" name="Qtr" dataDxfId="46" totalsRowDxfId="11">
      <calculatedColumnFormula>ROUNDUP(MONTH(Timesheet[[#This Row],[Date]])/3,0)</calculatedColumnFormula>
    </tableColumn>
    <tableColumn id="7" name="Month" dataDxfId="45" totalsRowDxfId="10">
      <calculatedColumnFormula>TEXT(Timesheet[[#This Row],[Date]], "mmm")</calculatedColumnFormula>
    </tableColumn>
    <tableColumn id="13" name="Day" dataDxfId="44" totalsRowDxfId="9">
      <calculatedColumnFormula>TEXT(Timesheet[[#This Row],[Date]], "dd")</calculatedColumnFormula>
    </tableColumn>
    <tableColumn id="12" name="Day of Week" dataDxfId="43" totalsRowDxfId="8">
      <calculatedColumnFormula>TEXT(Timesheet[[#This Row],[Date]], "ddd")</calculatedColumnFormula>
    </tableColumn>
    <tableColumn id="6" name="Weekend" dataDxfId="42" totalsRowDxfId="7">
      <calculatedColumnFormula>CEILING(Timesheet[[#This Row],[Date]]-1,7)+1</calculatedColumnFormula>
    </tableColumn>
    <tableColumn id="1" name="Date" dataDxfId="41" totalsRowDxfId="6"/>
    <tableColumn id="3" name="Start" dataDxfId="40" totalsRowDxfId="5"/>
    <tableColumn id="4" name="Finish" dataDxfId="39" totalsRowDxfId="4"/>
    <tableColumn id="11" name="Break" dataDxfId="38" totalsRowDxfId="3"/>
    <tableColumn id="5" name="Total Hours" totalsRowFunction="sum" dataDxfId="37" totalsRowDxfId="2">
      <calculatedColumnFormula>IF(Timesheet[[#This Row],[Finish]] =0, 0, (Timesheet[[#This Row],[Finish]]-Timesheet[[#This Row],[Start]])*24 - (Timesheet[[#This Row],[Break]])*24)</calculatedColumnFormula>
    </tableColumn>
    <tableColumn id="10" name="Title" dataDxfId="36" totalsRowDxfId="1"/>
    <tableColumn id="2" name="Address" dataDxfId="35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imezone" displayName="Timezone" ref="A1:E425" totalsRowShown="0" headerRowDxfId="34" dataDxfId="33">
  <autoFilter ref="A1:E425"/>
  <tableColumns count="5">
    <tableColumn id="1" name="Country Code" dataDxfId="32"/>
    <tableColumn id="2" name="Country Name" dataDxfId="31"/>
    <tableColumn id="3" name="Time Zone" dataDxfId="30"/>
    <tableColumn id="4" name="GMT Offset" dataDxfId="29"/>
    <tableColumn id="5" name="UTC" dataDxfId="28">
      <calculatedColumnFormula>MID(Timezone[[#This Row],[GMT Offset]], 5, 6) &amp; " - " &amp; Timezone[[#This Row],[Country Name]] &amp; " (" &amp;Timezone[[#This Row],[Time Zone]] &amp; ")"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K6" totalsRowShown="0" headerRowDxfId="27" dataDxfId="26">
  <autoFilter ref="A1:K6"/>
  <tableColumns count="11">
    <tableColumn id="1" name="User Name" dataDxfId="25"/>
    <tableColumn id="2" name="Computer Name" dataDxfId="24"/>
    <tableColumn id="3" name="Operating System" dataDxfId="23"/>
    <tableColumn id="4" name="Excel Version" dataDxfId="22"/>
    <tableColumn id="5" name="Error Datetime" dataDxfId="21"/>
    <tableColumn id="6" name="Sheet Name" dataDxfId="20"/>
    <tableColumn id="7" name="Module Name" dataDxfId="19"/>
    <tableColumn id="8" name="Procedure Name" dataDxfId="18"/>
    <tableColumn id="9" name="Error Number" dataDxfId="17"/>
    <tableColumn id="10" name="Error Description" dataDxfId="16"/>
    <tableColumn id="11" name="Resolution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customHeight="1" x14ac:dyDescent="0.2"/>
  <cols>
    <col min="1" max="1" width="9.42578125" style="1" customWidth="1"/>
    <col min="2" max="2" width="9.42578125" style="8" customWidth="1"/>
    <col min="3" max="4" width="9.42578125" style="1" customWidth="1"/>
    <col min="5" max="5" width="9.42578125" style="10" customWidth="1"/>
    <col min="6" max="7" width="11.85546875" style="1" customWidth="1"/>
    <col min="8" max="9" width="9.140625" style="1" customWidth="1"/>
    <col min="10" max="10" width="8.5703125" style="1" customWidth="1"/>
    <col min="11" max="11" width="10.5703125" style="22" customWidth="1"/>
    <col min="12" max="12" width="15.85546875" style="10" customWidth="1"/>
    <col min="13" max="13" width="56.140625" style="1" bestFit="1" customWidth="1"/>
    <col min="14" max="16384" width="9.140625" style="1"/>
  </cols>
  <sheetData>
    <row r="1" spans="1:13" s="6" customFormat="1" ht="30.75" customHeight="1" x14ac:dyDescent="0.2">
      <c r="A1" s="2" t="s">
        <v>7</v>
      </c>
      <c r="B1" s="3" t="s">
        <v>8</v>
      </c>
      <c r="C1" s="2" t="s">
        <v>9</v>
      </c>
      <c r="D1" s="2" t="s">
        <v>6</v>
      </c>
      <c r="E1" s="2" t="s">
        <v>3</v>
      </c>
      <c r="F1" s="5" t="s">
        <v>5</v>
      </c>
      <c r="G1" s="2" t="s">
        <v>4</v>
      </c>
      <c r="H1" s="2" t="s">
        <v>0</v>
      </c>
      <c r="I1" s="2" t="s">
        <v>1</v>
      </c>
      <c r="J1" s="2" t="s">
        <v>10</v>
      </c>
      <c r="K1" s="2" t="s">
        <v>2</v>
      </c>
      <c r="L1" s="2" t="s">
        <v>37</v>
      </c>
      <c r="M1" s="24" t="s">
        <v>38</v>
      </c>
    </row>
    <row r="2" spans="1:13" ht="15" customHeight="1" x14ac:dyDescent="0.2">
      <c r="A2" s="11" t="str">
        <f>TEXT(Timesheet[[#This Row],[Date]], "yyyy")</f>
        <v>2018</v>
      </c>
      <c r="B2" s="16">
        <f>ROUNDUP(MONTH(Timesheet[[#This Row],[Date]])/3,0)</f>
        <v>3</v>
      </c>
      <c r="C2" s="11" t="str">
        <f>TEXT(Timesheet[[#This Row],[Date]], "mmm")</f>
        <v>Sep</v>
      </c>
      <c r="D2" s="11" t="str">
        <f>TEXT(Timesheet[[#This Row],[Date]], "dd")</f>
        <v>10</v>
      </c>
      <c r="E2" s="17" t="str">
        <f>TEXT(Timesheet[[#This Row],[Date]], "ddd")</f>
        <v>Mon</v>
      </c>
      <c r="F2" s="11">
        <f>CEILING(Timesheet[[#This Row],[Date]]-1,7)+1</f>
        <v>43359</v>
      </c>
      <c r="G2" s="11">
        <v>43353</v>
      </c>
      <c r="H2" s="20">
        <v>0.35416666666666669</v>
      </c>
      <c r="I2" s="20">
        <v>0.70833333333333337</v>
      </c>
      <c r="J2" s="12">
        <v>1.0416666666666666E-2</v>
      </c>
      <c r="K2" s="21">
        <f>IF(Timesheet[[#This Row],[Finish]] =0, 0, (Timesheet[[#This Row],[Finish]]-Timesheet[[#This Row],[Start]])*24 - (Timesheet[[#This Row],[Break]])*24)</f>
        <v>8.25</v>
      </c>
      <c r="L2" s="23"/>
      <c r="M2" s="18"/>
    </row>
    <row r="3" spans="1:13" ht="15" customHeight="1" x14ac:dyDescent="0.2">
      <c r="A3" s="11" t="str">
        <f>TEXT(Timesheet[[#This Row],[Date]], "yyyy")</f>
        <v>2018</v>
      </c>
      <c r="B3" s="16">
        <f>ROUNDUP(MONTH(Timesheet[[#This Row],[Date]])/3,0)</f>
        <v>3</v>
      </c>
      <c r="C3" s="11" t="str">
        <f>TEXT(Timesheet[[#This Row],[Date]], "mmm")</f>
        <v>Sep</v>
      </c>
      <c r="D3" s="11" t="str">
        <f>TEXT(Timesheet[[#This Row],[Date]], "dd")</f>
        <v>11</v>
      </c>
      <c r="E3" s="17" t="str">
        <f>TEXT(Timesheet[[#This Row],[Date]], "ddd")</f>
        <v>Tue</v>
      </c>
      <c r="F3" s="11">
        <f>CEILING(Timesheet[[#This Row],[Date]]-1,7)+1</f>
        <v>43359</v>
      </c>
      <c r="G3" s="11">
        <v>43354</v>
      </c>
      <c r="H3" s="20">
        <v>0.35416666666666669</v>
      </c>
      <c r="I3" s="20">
        <v>0.70833333333333337</v>
      </c>
      <c r="J3" s="12">
        <v>1.0416666666666666E-2</v>
      </c>
      <c r="K3" s="21">
        <f>IF(Timesheet[[#This Row],[Finish]] =0, 0, (Timesheet[[#This Row],[Finish]]-Timesheet[[#This Row],[Start]])*24 - (Timesheet[[#This Row],[Break]])*24)</f>
        <v>8.25</v>
      </c>
      <c r="L3" s="23"/>
      <c r="M3" s="18"/>
    </row>
    <row r="4" spans="1:13" ht="15" customHeight="1" x14ac:dyDescent="0.2">
      <c r="A4" s="11" t="str">
        <f>TEXT(Timesheet[[#This Row],[Date]], "yyyy")</f>
        <v>2018</v>
      </c>
      <c r="B4" s="16">
        <f>ROUNDUP(MONTH(Timesheet[[#This Row],[Date]])/3,0)</f>
        <v>3</v>
      </c>
      <c r="C4" s="11" t="str">
        <f>TEXT(Timesheet[[#This Row],[Date]], "mmm")</f>
        <v>Sep</v>
      </c>
      <c r="D4" s="11" t="str">
        <f>TEXT(Timesheet[[#This Row],[Date]], "dd")</f>
        <v>12</v>
      </c>
      <c r="E4" s="17" t="str">
        <f>TEXT(Timesheet[[#This Row],[Date]], "ddd")</f>
        <v>Wed</v>
      </c>
      <c r="F4" s="11">
        <f>CEILING(Timesheet[[#This Row],[Date]]-1,7)+1</f>
        <v>43359</v>
      </c>
      <c r="G4" s="11">
        <v>43355</v>
      </c>
      <c r="H4" s="20">
        <v>0.35416666666666669</v>
      </c>
      <c r="I4" s="20">
        <v>0.70833333333333337</v>
      </c>
      <c r="J4" s="12">
        <v>1.0416666666666666E-2</v>
      </c>
      <c r="K4" s="21">
        <f>IF(Timesheet[[#This Row],[Finish]] =0, 0, (Timesheet[[#This Row],[Finish]]-Timesheet[[#This Row],[Start]])*24 - (Timesheet[[#This Row],[Break]])*24)</f>
        <v>8.25</v>
      </c>
      <c r="L4" s="23"/>
      <c r="M4" s="18"/>
    </row>
    <row r="5" spans="1:13" ht="15" customHeight="1" x14ac:dyDescent="0.2">
      <c r="A5" s="11" t="str">
        <f>TEXT(Timesheet[[#This Row],[Date]], "yyyy")</f>
        <v>2018</v>
      </c>
      <c r="B5" s="16">
        <f>ROUNDUP(MONTH(Timesheet[[#This Row],[Date]])/3,0)</f>
        <v>3</v>
      </c>
      <c r="C5" s="11" t="str">
        <f>TEXT(Timesheet[[#This Row],[Date]], "mmm")</f>
        <v>Sep</v>
      </c>
      <c r="D5" s="11" t="str">
        <f>TEXT(Timesheet[[#This Row],[Date]], "dd")</f>
        <v>13</v>
      </c>
      <c r="E5" s="17" t="str">
        <f>TEXT(Timesheet[[#This Row],[Date]], "ddd")</f>
        <v>Thu</v>
      </c>
      <c r="F5" s="11">
        <f>CEILING(Timesheet[[#This Row],[Date]]-1,7)+1</f>
        <v>43359</v>
      </c>
      <c r="G5" s="11">
        <v>43356</v>
      </c>
      <c r="H5" s="20">
        <v>0.35416666666666669</v>
      </c>
      <c r="I5" s="20">
        <v>0.70833333333333337</v>
      </c>
      <c r="J5" s="12">
        <v>1.0416666666666666E-2</v>
      </c>
      <c r="K5" s="21">
        <f>IF(Timesheet[[#This Row],[Finish]] =0, 0, (Timesheet[[#This Row],[Finish]]-Timesheet[[#This Row],[Start]])*24 - (Timesheet[[#This Row],[Break]])*24)</f>
        <v>8.25</v>
      </c>
      <c r="L5" s="23"/>
      <c r="M5" s="18"/>
    </row>
    <row r="6" spans="1:13" ht="15" customHeight="1" x14ac:dyDescent="0.2">
      <c r="A6" s="11" t="str">
        <f>TEXT(Timesheet[[#This Row],[Date]], "yyyy")</f>
        <v>2018</v>
      </c>
      <c r="B6" s="16">
        <f>ROUNDUP(MONTH(Timesheet[[#This Row],[Date]])/3,0)</f>
        <v>3</v>
      </c>
      <c r="C6" s="11" t="str">
        <f>TEXT(Timesheet[[#This Row],[Date]], "mmm")</f>
        <v>Sep</v>
      </c>
      <c r="D6" s="11" t="str">
        <f>TEXT(Timesheet[[#This Row],[Date]], "dd")</f>
        <v>14</v>
      </c>
      <c r="E6" s="17" t="str">
        <f>TEXT(Timesheet[[#This Row],[Date]], "ddd")</f>
        <v>Fri</v>
      </c>
      <c r="F6" s="11">
        <f>CEILING(Timesheet[[#This Row],[Date]]-1,7)+1</f>
        <v>43359</v>
      </c>
      <c r="G6" s="11">
        <v>43357</v>
      </c>
      <c r="H6" s="20">
        <v>0.35416666666666669</v>
      </c>
      <c r="I6" s="20">
        <v>0.70833333333333337</v>
      </c>
      <c r="J6" s="12">
        <v>1.0416666666666666E-2</v>
      </c>
      <c r="K6" s="21">
        <f>IF(Timesheet[[#This Row],[Finish]] =0, 0, (Timesheet[[#This Row],[Finish]]-Timesheet[[#This Row],[Start]])*24 - (Timesheet[[#This Row],[Break]])*24)</f>
        <v>8.25</v>
      </c>
      <c r="L6" s="23"/>
      <c r="M6" s="18"/>
    </row>
    <row r="7" spans="1:13" ht="15" customHeight="1" x14ac:dyDescent="0.2">
      <c r="A7" s="11"/>
      <c r="B7" s="16"/>
      <c r="C7" s="11"/>
      <c r="D7" s="11"/>
      <c r="E7" s="17"/>
      <c r="F7" s="11"/>
      <c r="G7" s="11"/>
      <c r="H7" s="20"/>
      <c r="I7" s="20"/>
      <c r="J7" s="12"/>
      <c r="K7" s="25">
        <f>SUBTOTAL(109,Timesheet[Total Hours])</f>
        <v>41.25</v>
      </c>
      <c r="L7" s="23"/>
      <c r="M7" s="26"/>
    </row>
    <row r="15" spans="1:13" ht="15" customHeight="1" x14ac:dyDescent="0.2">
      <c r="A15" s="7"/>
      <c r="C15" s="7"/>
      <c r="D15" s="7"/>
      <c r="E15" s="9"/>
    </row>
  </sheetData>
  <conditionalFormatting sqref="A8:L1048576 A1:M1 A7:M7">
    <cfRule type="expression" dxfId="14" priority="1">
      <formula>AND((INDIRECT("G"&amp;ROW()) &gt; 0), (INDIRECT("K"&amp;ROW())=0))</formula>
    </cfRule>
    <cfRule type="expression" dxfId="13" priority="2">
      <formula>INDIRECT("G"&amp;ROW())=TODAY()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25"/>
  <sheetViews>
    <sheetView workbookViewId="0">
      <pane ySplit="1" topLeftCell="A20" activePane="bottomLeft" state="frozen"/>
      <selection pane="bottomLeft" activeCell="C30" sqref="C30"/>
    </sheetView>
  </sheetViews>
  <sheetFormatPr defaultRowHeight="12.75" x14ac:dyDescent="0.2"/>
  <cols>
    <col min="1" max="1" width="14.42578125" style="4" customWidth="1"/>
    <col min="2" max="2" width="17.85546875" style="4" customWidth="1"/>
    <col min="3" max="3" width="29.140625" style="4" customWidth="1"/>
    <col min="4" max="4" width="12.140625" style="4" bestFit="1" customWidth="1"/>
    <col min="5" max="5" width="66" style="4" bestFit="1" customWidth="1"/>
    <col min="6" max="16384" width="9.140625" style="4"/>
  </cols>
  <sheetData>
    <row r="1" spans="1:5" x14ac:dyDescent="0.2">
      <c r="A1" s="4" t="s">
        <v>39</v>
      </c>
      <c r="B1" s="4" t="s">
        <v>40</v>
      </c>
      <c r="C1" s="4" t="s">
        <v>41</v>
      </c>
      <c r="D1" s="4" t="s">
        <v>42</v>
      </c>
      <c r="E1" s="4" t="s">
        <v>218</v>
      </c>
    </row>
    <row r="2" spans="1:5" x14ac:dyDescent="0.2">
      <c r="A2" s="4" t="s">
        <v>43</v>
      </c>
      <c r="B2" s="4" t="s">
        <v>44</v>
      </c>
      <c r="C2" s="4" t="s">
        <v>45</v>
      </c>
      <c r="D2" s="4" t="s">
        <v>46</v>
      </c>
      <c r="E2" s="4" t="str">
        <f>MID(Timezone[[#This Row],[GMT Offset]], 5, 6) &amp; " - " &amp; Timezone[[#This Row],[Country Name]] &amp; " (" &amp;Timezone[[#This Row],[Time Zone]] &amp; ")"</f>
        <v>+04:30 - Afghanistan (Asia/Kabul)</v>
      </c>
    </row>
    <row r="3" spans="1:5" x14ac:dyDescent="0.2">
      <c r="A3" s="4" t="s">
        <v>47</v>
      </c>
      <c r="B3" s="4" t="s">
        <v>48</v>
      </c>
      <c r="C3" s="4" t="s">
        <v>49</v>
      </c>
      <c r="D3" s="4" t="s">
        <v>50</v>
      </c>
      <c r="E3" s="4" t="str">
        <f>MID(Timezone[[#This Row],[GMT Offset]], 5, 6) &amp; " - " &amp; Timezone[[#This Row],[Country Name]] &amp; " (" &amp;Timezone[[#This Row],[Time Zone]] &amp; ")"</f>
        <v>+03:00 - Aland Islands (Europe/Mariehamn)</v>
      </c>
    </row>
    <row r="4" spans="1:5" x14ac:dyDescent="0.2">
      <c r="A4" s="4" t="s">
        <v>51</v>
      </c>
      <c r="B4" s="4" t="s">
        <v>52</v>
      </c>
      <c r="C4" s="4" t="s">
        <v>53</v>
      </c>
      <c r="D4" s="4" t="s">
        <v>54</v>
      </c>
      <c r="E4" s="4" t="str">
        <f>MID(Timezone[[#This Row],[GMT Offset]], 5, 6) &amp; " - " &amp; Timezone[[#This Row],[Country Name]] &amp; " (" &amp;Timezone[[#This Row],[Time Zone]] &amp; ")"</f>
        <v>+02:00 - Albania (Europe/Tirane)</v>
      </c>
    </row>
    <row r="5" spans="1:5" x14ac:dyDescent="0.2">
      <c r="A5" s="4" t="s">
        <v>55</v>
      </c>
      <c r="B5" s="4" t="s">
        <v>56</v>
      </c>
      <c r="C5" s="4" t="s">
        <v>57</v>
      </c>
      <c r="D5" s="4" t="s">
        <v>58</v>
      </c>
      <c r="E5" s="4" t="str">
        <f>MID(Timezone[[#This Row],[GMT Offset]], 5, 6) &amp; " - " &amp; Timezone[[#This Row],[Country Name]] &amp; " (" &amp;Timezone[[#This Row],[Time Zone]] &amp; ")"</f>
        <v>+01:00 - Algeria (Africa/Algiers)</v>
      </c>
    </row>
    <row r="6" spans="1:5" x14ac:dyDescent="0.2">
      <c r="A6" s="4" t="s">
        <v>59</v>
      </c>
      <c r="B6" s="4" t="s">
        <v>60</v>
      </c>
      <c r="C6" s="4" t="s">
        <v>61</v>
      </c>
      <c r="D6" s="4" t="s">
        <v>62</v>
      </c>
      <c r="E6" s="4" t="str">
        <f>MID(Timezone[[#This Row],[GMT Offset]], 5, 6) &amp; " - " &amp; Timezone[[#This Row],[Country Name]] &amp; " (" &amp;Timezone[[#This Row],[Time Zone]] &amp; ")"</f>
        <v>-11:00 - American Samoa (Pacific/Pago_Pago)</v>
      </c>
    </row>
    <row r="7" spans="1:5" x14ac:dyDescent="0.2">
      <c r="A7" s="4" t="s">
        <v>63</v>
      </c>
      <c r="B7" s="4" t="s">
        <v>64</v>
      </c>
      <c r="C7" s="4" t="s">
        <v>65</v>
      </c>
      <c r="D7" s="4" t="s">
        <v>54</v>
      </c>
      <c r="E7" s="4" t="str">
        <f>MID(Timezone[[#This Row],[GMT Offset]], 5, 6) &amp; " - " &amp; Timezone[[#This Row],[Country Name]] &amp; " (" &amp;Timezone[[#This Row],[Time Zone]] &amp; ")"</f>
        <v>+02:00 - Andorra (Europe/Andorra)</v>
      </c>
    </row>
    <row r="8" spans="1:5" x14ac:dyDescent="0.2">
      <c r="A8" s="4" t="s">
        <v>66</v>
      </c>
      <c r="B8" s="4" t="s">
        <v>67</v>
      </c>
      <c r="C8" s="4" t="s">
        <v>68</v>
      </c>
      <c r="D8" s="4" t="s">
        <v>58</v>
      </c>
      <c r="E8" s="4" t="str">
        <f>MID(Timezone[[#This Row],[GMT Offset]], 5, 6) &amp; " - " &amp; Timezone[[#This Row],[Country Name]] &amp; " (" &amp;Timezone[[#This Row],[Time Zone]] &amp; ")"</f>
        <v>+01:00 - Angola (Africa/Luanda)</v>
      </c>
    </row>
    <row r="9" spans="1:5" x14ac:dyDescent="0.2">
      <c r="A9" s="4" t="s">
        <v>69</v>
      </c>
      <c r="B9" s="4" t="s">
        <v>70</v>
      </c>
      <c r="C9" s="4" t="s">
        <v>71</v>
      </c>
      <c r="D9" s="4" t="s">
        <v>72</v>
      </c>
      <c r="E9" s="4" t="str">
        <f>MID(Timezone[[#This Row],[GMT Offset]], 5, 6) &amp; " - " &amp; Timezone[[#This Row],[Country Name]] &amp; " (" &amp;Timezone[[#This Row],[Time Zone]] &amp; ")"</f>
        <v>-04:00 - Anguilla (America/Anguilla)</v>
      </c>
    </row>
    <row r="10" spans="1:5" x14ac:dyDescent="0.2">
      <c r="A10" s="4" t="s">
        <v>73</v>
      </c>
      <c r="B10" s="4" t="s">
        <v>74</v>
      </c>
      <c r="C10" s="4" t="s">
        <v>75</v>
      </c>
      <c r="D10" s="4" t="s">
        <v>76</v>
      </c>
      <c r="E10" s="4" t="str">
        <f>MID(Timezone[[#This Row],[GMT Offset]], 5, 6) &amp; " - " &amp; Timezone[[#This Row],[Country Name]] &amp; " (" &amp;Timezone[[#This Row],[Time Zone]] &amp; ")"</f>
        <v>+08:00 - Antarctica (Antarctica/Casey)</v>
      </c>
    </row>
    <row r="11" spans="1:5" x14ac:dyDescent="0.2">
      <c r="A11" s="4" t="s">
        <v>73</v>
      </c>
      <c r="B11" s="4" t="s">
        <v>74</v>
      </c>
      <c r="C11" s="4" t="s">
        <v>77</v>
      </c>
      <c r="D11" s="4" t="s">
        <v>78</v>
      </c>
      <c r="E11" s="4" t="str">
        <f>MID(Timezone[[#This Row],[GMT Offset]], 5, 6) &amp; " - " &amp; Timezone[[#This Row],[Country Name]] &amp; " (" &amp;Timezone[[#This Row],[Time Zone]] &amp; ")"</f>
        <v>+07:00 - Antarctica (Antarctica/Davis)</v>
      </c>
    </row>
    <row r="12" spans="1:5" x14ac:dyDescent="0.2">
      <c r="A12" s="4" t="s">
        <v>73</v>
      </c>
      <c r="B12" s="4" t="s">
        <v>74</v>
      </c>
      <c r="C12" s="4" t="s">
        <v>79</v>
      </c>
      <c r="D12" s="4" t="s">
        <v>80</v>
      </c>
      <c r="E12" s="4" t="str">
        <f>MID(Timezone[[#This Row],[GMT Offset]], 5, 6) &amp; " - " &amp; Timezone[[#This Row],[Country Name]] &amp; " (" &amp;Timezone[[#This Row],[Time Zone]] &amp; ")"</f>
        <v>+10:00 - Antarctica (Antarctica/DumontDUrville)</v>
      </c>
    </row>
    <row r="13" spans="1:5" x14ac:dyDescent="0.2">
      <c r="A13" s="4" t="s">
        <v>73</v>
      </c>
      <c r="B13" s="4" t="s">
        <v>74</v>
      </c>
      <c r="C13" s="4" t="s">
        <v>81</v>
      </c>
      <c r="D13" s="4" t="s">
        <v>82</v>
      </c>
      <c r="E13" s="4" t="str">
        <f>MID(Timezone[[#This Row],[GMT Offset]], 5, 6) &amp; " - " &amp; Timezone[[#This Row],[Country Name]] &amp; " (" &amp;Timezone[[#This Row],[Time Zone]] &amp; ")"</f>
        <v>+05:00 - Antarctica (Antarctica/Mawson)</v>
      </c>
    </row>
    <row r="14" spans="1:5" x14ac:dyDescent="0.2">
      <c r="A14" s="4" t="s">
        <v>73</v>
      </c>
      <c r="B14" s="4" t="s">
        <v>74</v>
      </c>
      <c r="C14" s="4" t="s">
        <v>83</v>
      </c>
      <c r="D14" s="4" t="s">
        <v>84</v>
      </c>
      <c r="E14" s="4" t="str">
        <f>MID(Timezone[[#This Row],[GMT Offset]], 5, 6) &amp; " - " &amp; Timezone[[#This Row],[Country Name]] &amp; " (" &amp;Timezone[[#This Row],[Time Zone]] &amp; ")"</f>
        <v>+12:00 - Antarctica (Antarctica/McMurdo)</v>
      </c>
    </row>
    <row r="15" spans="1:5" x14ac:dyDescent="0.2">
      <c r="A15" s="4" t="s">
        <v>73</v>
      </c>
      <c r="B15" s="4" t="s">
        <v>74</v>
      </c>
      <c r="C15" s="4" t="s">
        <v>85</v>
      </c>
      <c r="D15" s="4" t="s">
        <v>86</v>
      </c>
      <c r="E15" s="4" t="str">
        <f>MID(Timezone[[#This Row],[GMT Offset]], 5, 6) &amp; " - " &amp; Timezone[[#This Row],[Country Name]] &amp; " (" &amp;Timezone[[#This Row],[Time Zone]] &amp; ")"</f>
        <v>-03:00 - Antarctica (Antarctica/Palmer)</v>
      </c>
    </row>
    <row r="16" spans="1:5" x14ac:dyDescent="0.2">
      <c r="A16" s="4" t="s">
        <v>73</v>
      </c>
      <c r="B16" s="4" t="s">
        <v>74</v>
      </c>
      <c r="C16" s="4" t="s">
        <v>87</v>
      </c>
      <c r="D16" s="4" t="s">
        <v>86</v>
      </c>
      <c r="E16" s="4" t="str">
        <f>MID(Timezone[[#This Row],[GMT Offset]], 5, 6) &amp; " - " &amp; Timezone[[#This Row],[Country Name]] &amp; " (" &amp;Timezone[[#This Row],[Time Zone]] &amp; ")"</f>
        <v>-03:00 - Antarctica (Antarctica/Rothera)</v>
      </c>
    </row>
    <row r="17" spans="1:5" x14ac:dyDescent="0.2">
      <c r="A17" s="4" t="s">
        <v>73</v>
      </c>
      <c r="B17" s="4" t="s">
        <v>74</v>
      </c>
      <c r="C17" s="4" t="s">
        <v>88</v>
      </c>
      <c r="D17" s="4" t="s">
        <v>50</v>
      </c>
      <c r="E17" s="4" t="str">
        <f>MID(Timezone[[#This Row],[GMT Offset]], 5, 6) &amp; " - " &amp; Timezone[[#This Row],[Country Name]] &amp; " (" &amp;Timezone[[#This Row],[Time Zone]] &amp; ")"</f>
        <v>+03:00 - Antarctica (Antarctica/Syowa)</v>
      </c>
    </row>
    <row r="18" spans="1:5" x14ac:dyDescent="0.2">
      <c r="A18" s="4" t="s">
        <v>73</v>
      </c>
      <c r="B18" s="4" t="s">
        <v>74</v>
      </c>
      <c r="C18" s="4" t="s">
        <v>89</v>
      </c>
      <c r="D18" s="4" t="s">
        <v>54</v>
      </c>
      <c r="E18" s="4" t="str">
        <f>MID(Timezone[[#This Row],[GMT Offset]], 5, 6) &amp; " - " &amp; Timezone[[#This Row],[Country Name]] &amp; " (" &amp;Timezone[[#This Row],[Time Zone]] &amp; ")"</f>
        <v>+02:00 - Antarctica (Antarctica/Troll)</v>
      </c>
    </row>
    <row r="19" spans="1:5" x14ac:dyDescent="0.2">
      <c r="A19" s="4" t="s">
        <v>73</v>
      </c>
      <c r="B19" s="4" t="s">
        <v>74</v>
      </c>
      <c r="C19" s="4" t="s">
        <v>90</v>
      </c>
      <c r="D19" s="4" t="s">
        <v>91</v>
      </c>
      <c r="E19" s="4" t="str">
        <f>MID(Timezone[[#This Row],[GMT Offset]], 5, 6) &amp; " - " &amp; Timezone[[#This Row],[Country Name]] &amp; " (" &amp;Timezone[[#This Row],[Time Zone]] &amp; ")"</f>
        <v>+06:00 - Antarctica (Antarctica/Vostok)</v>
      </c>
    </row>
    <row r="20" spans="1:5" x14ac:dyDescent="0.2">
      <c r="A20" s="4" t="s">
        <v>92</v>
      </c>
      <c r="B20" s="4" t="s">
        <v>93</v>
      </c>
      <c r="C20" s="4" t="s">
        <v>94</v>
      </c>
      <c r="D20" s="4" t="s">
        <v>72</v>
      </c>
      <c r="E20" s="4" t="str">
        <f>MID(Timezone[[#This Row],[GMT Offset]], 5, 6) &amp; " - " &amp; Timezone[[#This Row],[Country Name]] &amp; " (" &amp;Timezone[[#This Row],[Time Zone]] &amp; ")"</f>
        <v>-04:00 - Antigua and Barbuda (America/Antigua)</v>
      </c>
    </row>
    <row r="21" spans="1:5" x14ac:dyDescent="0.2">
      <c r="A21" s="4" t="s">
        <v>95</v>
      </c>
      <c r="B21" s="4" t="s">
        <v>96</v>
      </c>
      <c r="C21" s="4" t="s">
        <v>97</v>
      </c>
      <c r="D21" s="4" t="s">
        <v>86</v>
      </c>
      <c r="E21" s="4" t="str">
        <f>MID(Timezone[[#This Row],[GMT Offset]], 5, 6) &amp; " - " &amp; Timezone[[#This Row],[Country Name]] &amp; " (" &amp;Timezone[[#This Row],[Time Zone]] &amp; ")"</f>
        <v>-03:00 - Argentina (America/Argentina/Buenos_Aires)</v>
      </c>
    </row>
    <row r="22" spans="1:5" x14ac:dyDescent="0.2">
      <c r="A22" s="4" t="s">
        <v>95</v>
      </c>
      <c r="B22" s="4" t="s">
        <v>96</v>
      </c>
      <c r="C22" s="4" t="s">
        <v>98</v>
      </c>
      <c r="D22" s="4" t="s">
        <v>86</v>
      </c>
      <c r="E22" s="4" t="str">
        <f>MID(Timezone[[#This Row],[GMT Offset]], 5, 6) &amp; " - " &amp; Timezone[[#This Row],[Country Name]] &amp; " (" &amp;Timezone[[#This Row],[Time Zone]] &amp; ")"</f>
        <v>-03:00 - Argentina (America/Argentina/Catamarca)</v>
      </c>
    </row>
    <row r="23" spans="1:5" x14ac:dyDescent="0.2">
      <c r="A23" s="4" t="s">
        <v>95</v>
      </c>
      <c r="B23" s="4" t="s">
        <v>96</v>
      </c>
      <c r="C23" s="4" t="s">
        <v>99</v>
      </c>
      <c r="D23" s="4" t="s">
        <v>86</v>
      </c>
      <c r="E23" s="4" t="str">
        <f>MID(Timezone[[#This Row],[GMT Offset]], 5, 6) &amp; " - " &amp; Timezone[[#This Row],[Country Name]] &amp; " (" &amp;Timezone[[#This Row],[Time Zone]] &amp; ")"</f>
        <v>-03:00 - Argentina (America/Argentina/Cordoba)</v>
      </c>
    </row>
    <row r="24" spans="1:5" x14ac:dyDescent="0.2">
      <c r="A24" s="4" t="s">
        <v>95</v>
      </c>
      <c r="B24" s="4" t="s">
        <v>96</v>
      </c>
      <c r="C24" s="4" t="s">
        <v>100</v>
      </c>
      <c r="D24" s="4" t="s">
        <v>86</v>
      </c>
      <c r="E24" s="4" t="str">
        <f>MID(Timezone[[#This Row],[GMT Offset]], 5, 6) &amp; " - " &amp; Timezone[[#This Row],[Country Name]] &amp; " (" &amp;Timezone[[#This Row],[Time Zone]] &amp; ")"</f>
        <v>-03:00 - Argentina (America/Argentina/Jujuy)</v>
      </c>
    </row>
    <row r="25" spans="1:5" x14ac:dyDescent="0.2">
      <c r="A25" s="4" t="s">
        <v>95</v>
      </c>
      <c r="B25" s="4" t="s">
        <v>96</v>
      </c>
      <c r="C25" s="4" t="s">
        <v>101</v>
      </c>
      <c r="D25" s="4" t="s">
        <v>86</v>
      </c>
      <c r="E25" s="4" t="str">
        <f>MID(Timezone[[#This Row],[GMT Offset]], 5, 6) &amp; " - " &amp; Timezone[[#This Row],[Country Name]] &amp; " (" &amp;Timezone[[#This Row],[Time Zone]] &amp; ")"</f>
        <v>-03:00 - Argentina (America/Argentina/La_Rioja)</v>
      </c>
    </row>
    <row r="26" spans="1:5" x14ac:dyDescent="0.2">
      <c r="A26" s="4" t="s">
        <v>95</v>
      </c>
      <c r="B26" s="4" t="s">
        <v>96</v>
      </c>
      <c r="C26" s="4" t="s">
        <v>102</v>
      </c>
      <c r="D26" s="4" t="s">
        <v>86</v>
      </c>
      <c r="E26" s="4" t="str">
        <f>MID(Timezone[[#This Row],[GMT Offset]], 5, 6) &amp; " - " &amp; Timezone[[#This Row],[Country Name]] &amp; " (" &amp;Timezone[[#This Row],[Time Zone]] &amp; ")"</f>
        <v>-03:00 - Argentina (America/Argentina/Mendoza)</v>
      </c>
    </row>
    <row r="27" spans="1:5" x14ac:dyDescent="0.2">
      <c r="A27" s="4" t="s">
        <v>95</v>
      </c>
      <c r="B27" s="4" t="s">
        <v>96</v>
      </c>
      <c r="C27" s="4" t="s">
        <v>103</v>
      </c>
      <c r="D27" s="4" t="s">
        <v>86</v>
      </c>
      <c r="E27" s="4" t="str">
        <f>MID(Timezone[[#This Row],[GMT Offset]], 5, 6) &amp; " - " &amp; Timezone[[#This Row],[Country Name]] &amp; " (" &amp;Timezone[[#This Row],[Time Zone]] &amp; ")"</f>
        <v>-03:00 - Argentina (America/Argentina/Rio_Gallegos)</v>
      </c>
    </row>
    <row r="28" spans="1:5" x14ac:dyDescent="0.2">
      <c r="A28" s="4" t="s">
        <v>95</v>
      </c>
      <c r="B28" s="4" t="s">
        <v>96</v>
      </c>
      <c r="C28" s="4" t="s">
        <v>104</v>
      </c>
      <c r="D28" s="4" t="s">
        <v>86</v>
      </c>
      <c r="E28" s="4" t="str">
        <f>MID(Timezone[[#This Row],[GMT Offset]], 5, 6) &amp; " - " &amp; Timezone[[#This Row],[Country Name]] &amp; " (" &amp;Timezone[[#This Row],[Time Zone]] &amp; ")"</f>
        <v>-03:00 - Argentina (America/Argentina/Salta)</v>
      </c>
    </row>
    <row r="29" spans="1:5" x14ac:dyDescent="0.2">
      <c r="A29" s="4" t="s">
        <v>95</v>
      </c>
      <c r="B29" s="4" t="s">
        <v>96</v>
      </c>
      <c r="C29" s="4" t="s">
        <v>105</v>
      </c>
      <c r="D29" s="4" t="s">
        <v>86</v>
      </c>
      <c r="E29" s="4" t="str">
        <f>MID(Timezone[[#This Row],[GMT Offset]], 5, 6) &amp; " - " &amp; Timezone[[#This Row],[Country Name]] &amp; " (" &amp;Timezone[[#This Row],[Time Zone]] &amp; ")"</f>
        <v>-03:00 - Argentina (America/Argentina/San_Juan)</v>
      </c>
    </row>
    <row r="30" spans="1:5" x14ac:dyDescent="0.2">
      <c r="A30" s="4" t="s">
        <v>95</v>
      </c>
      <c r="B30" s="4" t="s">
        <v>96</v>
      </c>
      <c r="C30" s="4" t="s">
        <v>106</v>
      </c>
      <c r="D30" s="4" t="s">
        <v>86</v>
      </c>
      <c r="E30" s="4" t="str">
        <f>MID(Timezone[[#This Row],[GMT Offset]], 5, 6) &amp; " - " &amp; Timezone[[#This Row],[Country Name]] &amp; " (" &amp;Timezone[[#This Row],[Time Zone]] &amp; ")"</f>
        <v>-03:00 - Argentina (America/Argentina/San_Luis)</v>
      </c>
    </row>
    <row r="31" spans="1:5" x14ac:dyDescent="0.2">
      <c r="A31" s="4" t="s">
        <v>95</v>
      </c>
      <c r="B31" s="4" t="s">
        <v>96</v>
      </c>
      <c r="C31" s="4" t="s">
        <v>107</v>
      </c>
      <c r="D31" s="4" t="s">
        <v>86</v>
      </c>
      <c r="E31" s="4" t="str">
        <f>MID(Timezone[[#This Row],[GMT Offset]], 5, 6) &amp; " - " &amp; Timezone[[#This Row],[Country Name]] &amp; " (" &amp;Timezone[[#This Row],[Time Zone]] &amp; ")"</f>
        <v>-03:00 - Argentina (America/Argentina/Tucuman)</v>
      </c>
    </row>
    <row r="32" spans="1:5" x14ac:dyDescent="0.2">
      <c r="A32" s="4" t="s">
        <v>95</v>
      </c>
      <c r="B32" s="4" t="s">
        <v>96</v>
      </c>
      <c r="C32" s="4" t="s">
        <v>108</v>
      </c>
      <c r="D32" s="4" t="s">
        <v>86</v>
      </c>
      <c r="E32" s="4" t="str">
        <f>MID(Timezone[[#This Row],[GMT Offset]], 5, 6) &amp; " - " &amp; Timezone[[#This Row],[Country Name]] &amp; " (" &amp;Timezone[[#This Row],[Time Zone]] &amp; ")"</f>
        <v>-03:00 - Argentina (America/Argentina/Ushuaia)</v>
      </c>
    </row>
    <row r="33" spans="1:5" x14ac:dyDescent="0.2">
      <c r="A33" s="4" t="s">
        <v>109</v>
      </c>
      <c r="B33" s="4" t="s">
        <v>110</v>
      </c>
      <c r="C33" s="4" t="s">
        <v>111</v>
      </c>
      <c r="D33" s="4" t="s">
        <v>112</v>
      </c>
      <c r="E33" s="4" t="str">
        <f>MID(Timezone[[#This Row],[GMT Offset]], 5, 6) &amp; " - " &amp; Timezone[[#This Row],[Country Name]] &amp; " (" &amp;Timezone[[#This Row],[Time Zone]] &amp; ")"</f>
        <v>+04:00 - Armenia (Asia/Yerevan)</v>
      </c>
    </row>
    <row r="34" spans="1:5" x14ac:dyDescent="0.2">
      <c r="A34" s="4" t="s">
        <v>113</v>
      </c>
      <c r="B34" s="4" t="s">
        <v>114</v>
      </c>
      <c r="C34" s="4" t="s">
        <v>115</v>
      </c>
      <c r="D34" s="4" t="s">
        <v>72</v>
      </c>
      <c r="E34" s="4" t="str">
        <f>MID(Timezone[[#This Row],[GMT Offset]], 5, 6) &amp; " - " &amp; Timezone[[#This Row],[Country Name]] &amp; " (" &amp;Timezone[[#This Row],[Time Zone]] &amp; ")"</f>
        <v>-04:00 - Aruba (America/Aruba)</v>
      </c>
    </row>
    <row r="35" spans="1:5" x14ac:dyDescent="0.2">
      <c r="A35" s="4" t="s">
        <v>116</v>
      </c>
      <c r="B35" s="4" t="s">
        <v>36</v>
      </c>
      <c r="C35" s="4" t="s">
        <v>117</v>
      </c>
      <c r="D35" s="4" t="s">
        <v>118</v>
      </c>
      <c r="E35" s="4" t="str">
        <f>MID(Timezone[[#This Row],[GMT Offset]], 5, 6) &amp; " - " &amp; Timezone[[#This Row],[Country Name]] &amp; " (" &amp;Timezone[[#This Row],[Time Zone]] &amp; ")"</f>
        <v>+11:00 - Australia (Antarctica/Macquarie)</v>
      </c>
    </row>
    <row r="36" spans="1:5" x14ac:dyDescent="0.2">
      <c r="A36" s="4" t="s">
        <v>116</v>
      </c>
      <c r="B36" s="4" t="s">
        <v>36</v>
      </c>
      <c r="C36" s="4" t="s">
        <v>119</v>
      </c>
      <c r="D36" s="4" t="s">
        <v>120</v>
      </c>
      <c r="E36" s="4" t="str">
        <f>MID(Timezone[[#This Row],[GMT Offset]], 5, 6) &amp; " - " &amp; Timezone[[#This Row],[Country Name]] &amp; " (" &amp;Timezone[[#This Row],[Time Zone]] &amp; ")"</f>
        <v>+09:30 - Australia (Australia/Adelaide)</v>
      </c>
    </row>
    <row r="37" spans="1:5" x14ac:dyDescent="0.2">
      <c r="A37" s="4" t="s">
        <v>116</v>
      </c>
      <c r="B37" s="4" t="s">
        <v>36</v>
      </c>
      <c r="C37" s="4" t="s">
        <v>121</v>
      </c>
      <c r="D37" s="4" t="s">
        <v>80</v>
      </c>
      <c r="E37" s="4" t="str">
        <f>MID(Timezone[[#This Row],[GMT Offset]], 5, 6) &amp; " - " &amp; Timezone[[#This Row],[Country Name]] &amp; " (" &amp;Timezone[[#This Row],[Time Zone]] &amp; ")"</f>
        <v>+10:00 - Australia (Australia/Brisbane)</v>
      </c>
    </row>
    <row r="38" spans="1:5" x14ac:dyDescent="0.2">
      <c r="A38" s="4" t="s">
        <v>116</v>
      </c>
      <c r="B38" s="4" t="s">
        <v>36</v>
      </c>
      <c r="C38" s="4" t="s">
        <v>122</v>
      </c>
      <c r="D38" s="4" t="s">
        <v>120</v>
      </c>
      <c r="E38" s="4" t="str">
        <f>MID(Timezone[[#This Row],[GMT Offset]], 5, 6) &amp; " - " &amp; Timezone[[#This Row],[Country Name]] &amp; " (" &amp;Timezone[[#This Row],[Time Zone]] &amp; ")"</f>
        <v>+09:30 - Australia (Australia/Broken_Hill)</v>
      </c>
    </row>
    <row r="39" spans="1:5" x14ac:dyDescent="0.2">
      <c r="A39" s="4" t="s">
        <v>116</v>
      </c>
      <c r="B39" s="4" t="s">
        <v>36</v>
      </c>
      <c r="C39" s="4" t="s">
        <v>123</v>
      </c>
      <c r="D39" s="4" t="s">
        <v>80</v>
      </c>
      <c r="E39" s="4" t="str">
        <f>MID(Timezone[[#This Row],[GMT Offset]], 5, 6) &amp; " - " &amp; Timezone[[#This Row],[Country Name]] &amp; " (" &amp;Timezone[[#This Row],[Time Zone]] &amp; ")"</f>
        <v>+10:00 - Australia (Australia/Currie)</v>
      </c>
    </row>
    <row r="40" spans="1:5" x14ac:dyDescent="0.2">
      <c r="A40" s="4" t="s">
        <v>116</v>
      </c>
      <c r="B40" s="4" t="s">
        <v>36</v>
      </c>
      <c r="C40" s="4" t="s">
        <v>124</v>
      </c>
      <c r="D40" s="4" t="s">
        <v>120</v>
      </c>
      <c r="E40" s="4" t="str">
        <f>MID(Timezone[[#This Row],[GMT Offset]], 5, 6) &amp; " - " &amp; Timezone[[#This Row],[Country Name]] &amp; " (" &amp;Timezone[[#This Row],[Time Zone]] &amp; ")"</f>
        <v>+09:30 - Australia (Australia/Darwin)</v>
      </c>
    </row>
    <row r="41" spans="1:5" x14ac:dyDescent="0.2">
      <c r="A41" s="4" t="s">
        <v>116</v>
      </c>
      <c r="B41" s="4" t="s">
        <v>36</v>
      </c>
      <c r="C41" s="4" t="s">
        <v>125</v>
      </c>
      <c r="D41" s="4" t="s">
        <v>126</v>
      </c>
      <c r="E41" s="4" t="str">
        <f>MID(Timezone[[#This Row],[GMT Offset]], 5, 6) &amp; " - " &amp; Timezone[[#This Row],[Country Name]] &amp; " (" &amp;Timezone[[#This Row],[Time Zone]] &amp; ")"</f>
        <v>+08:45 - Australia (Australia/Eucla)</v>
      </c>
    </row>
    <row r="42" spans="1:5" x14ac:dyDescent="0.2">
      <c r="A42" s="4" t="s">
        <v>116</v>
      </c>
      <c r="B42" s="4" t="s">
        <v>36</v>
      </c>
      <c r="C42" s="4" t="s">
        <v>127</v>
      </c>
      <c r="D42" s="4" t="s">
        <v>80</v>
      </c>
      <c r="E42" s="4" t="str">
        <f>MID(Timezone[[#This Row],[GMT Offset]], 5, 6) &amp; " - " &amp; Timezone[[#This Row],[Country Name]] &amp; " (" &amp;Timezone[[#This Row],[Time Zone]] &amp; ")"</f>
        <v>+10:00 - Australia (Australia/Hobart)</v>
      </c>
    </row>
    <row r="43" spans="1:5" x14ac:dyDescent="0.2">
      <c r="A43" s="4" t="s">
        <v>116</v>
      </c>
      <c r="B43" s="4" t="s">
        <v>36</v>
      </c>
      <c r="C43" s="4" t="s">
        <v>128</v>
      </c>
      <c r="D43" s="4" t="s">
        <v>80</v>
      </c>
      <c r="E43" s="4" t="str">
        <f>MID(Timezone[[#This Row],[GMT Offset]], 5, 6) &amp; " - " &amp; Timezone[[#This Row],[Country Name]] &amp; " (" &amp;Timezone[[#This Row],[Time Zone]] &amp; ")"</f>
        <v>+10:00 - Australia (Australia/Lindeman)</v>
      </c>
    </row>
    <row r="44" spans="1:5" x14ac:dyDescent="0.2">
      <c r="A44" s="4" t="s">
        <v>116</v>
      </c>
      <c r="B44" s="4" t="s">
        <v>36</v>
      </c>
      <c r="C44" s="4" t="s">
        <v>129</v>
      </c>
      <c r="D44" s="4" t="s">
        <v>130</v>
      </c>
      <c r="E44" s="4" t="str">
        <f>MID(Timezone[[#This Row],[GMT Offset]], 5, 6) &amp; " - " &amp; Timezone[[#This Row],[Country Name]] &amp; " (" &amp;Timezone[[#This Row],[Time Zone]] &amp; ")"</f>
        <v>+10:30 - Australia (Australia/Lord_Howe)</v>
      </c>
    </row>
    <row r="45" spans="1:5" x14ac:dyDescent="0.2">
      <c r="A45" s="4" t="s">
        <v>116</v>
      </c>
      <c r="B45" s="4" t="s">
        <v>36</v>
      </c>
      <c r="C45" s="4" t="s">
        <v>131</v>
      </c>
      <c r="D45" s="4" t="s">
        <v>80</v>
      </c>
      <c r="E45" s="4" t="str">
        <f>MID(Timezone[[#This Row],[GMT Offset]], 5, 6) &amp; " - " &amp; Timezone[[#This Row],[Country Name]] &amp; " (" &amp;Timezone[[#This Row],[Time Zone]] &amp; ")"</f>
        <v>+10:00 - Australia (Australia/Melbourne)</v>
      </c>
    </row>
    <row r="46" spans="1:5" x14ac:dyDescent="0.2">
      <c r="A46" s="4" t="s">
        <v>116</v>
      </c>
      <c r="B46" s="4" t="s">
        <v>36</v>
      </c>
      <c r="C46" s="4" t="s">
        <v>132</v>
      </c>
      <c r="D46" s="4" t="s">
        <v>76</v>
      </c>
      <c r="E46" s="4" t="str">
        <f>MID(Timezone[[#This Row],[GMT Offset]], 5, 6) &amp; " - " &amp; Timezone[[#This Row],[Country Name]] &amp; " (" &amp;Timezone[[#This Row],[Time Zone]] &amp; ")"</f>
        <v>+08:00 - Australia (Australia/Perth)</v>
      </c>
    </row>
    <row r="47" spans="1:5" x14ac:dyDescent="0.2">
      <c r="A47" s="4" t="s">
        <v>116</v>
      </c>
      <c r="B47" s="4" t="s">
        <v>36</v>
      </c>
      <c r="C47" s="4" t="s">
        <v>133</v>
      </c>
      <c r="D47" s="4" t="s">
        <v>80</v>
      </c>
      <c r="E47" s="4" t="str">
        <f>MID(Timezone[[#This Row],[GMT Offset]], 5, 6) &amp; " - " &amp; Timezone[[#This Row],[Country Name]] &amp; " (" &amp;Timezone[[#This Row],[Time Zone]] &amp; ")"</f>
        <v>+10:00 - Australia (Australia/Sydney)</v>
      </c>
    </row>
    <row r="48" spans="1:5" x14ac:dyDescent="0.2">
      <c r="A48" s="4" t="s">
        <v>134</v>
      </c>
      <c r="B48" s="4" t="s">
        <v>135</v>
      </c>
      <c r="C48" s="4" t="s">
        <v>136</v>
      </c>
      <c r="D48" s="4" t="s">
        <v>54</v>
      </c>
      <c r="E48" s="4" t="str">
        <f>MID(Timezone[[#This Row],[GMT Offset]], 5, 6) &amp; " - " &amp; Timezone[[#This Row],[Country Name]] &amp; " (" &amp;Timezone[[#This Row],[Time Zone]] &amp; ")"</f>
        <v>+02:00 - Austria (Europe/Vienna)</v>
      </c>
    </row>
    <row r="49" spans="1:5" x14ac:dyDescent="0.2">
      <c r="A49" s="4" t="s">
        <v>137</v>
      </c>
      <c r="B49" s="4" t="s">
        <v>138</v>
      </c>
      <c r="C49" s="4" t="s">
        <v>139</v>
      </c>
      <c r="D49" s="4" t="s">
        <v>112</v>
      </c>
      <c r="E49" s="4" t="str">
        <f>MID(Timezone[[#This Row],[GMT Offset]], 5, 6) &amp; " - " &amp; Timezone[[#This Row],[Country Name]] &amp; " (" &amp;Timezone[[#This Row],[Time Zone]] &amp; ")"</f>
        <v>+04:00 - Azerbaijan (Asia/Baku)</v>
      </c>
    </row>
    <row r="50" spans="1:5" x14ac:dyDescent="0.2">
      <c r="A50" s="4" t="s">
        <v>140</v>
      </c>
      <c r="B50" s="4" t="s">
        <v>141</v>
      </c>
      <c r="C50" s="4" t="s">
        <v>142</v>
      </c>
      <c r="D50" s="4" t="s">
        <v>72</v>
      </c>
      <c r="E50" s="4" t="str">
        <f>MID(Timezone[[#This Row],[GMT Offset]], 5, 6) &amp; " - " &amp; Timezone[[#This Row],[Country Name]] &amp; " (" &amp;Timezone[[#This Row],[Time Zone]] &amp; ")"</f>
        <v>-04:00 - Bahamas (America/Nassau)</v>
      </c>
    </row>
    <row r="51" spans="1:5" x14ac:dyDescent="0.2">
      <c r="A51" s="4" t="s">
        <v>143</v>
      </c>
      <c r="B51" s="4" t="s">
        <v>144</v>
      </c>
      <c r="C51" s="4" t="s">
        <v>145</v>
      </c>
      <c r="D51" s="4" t="s">
        <v>50</v>
      </c>
      <c r="E51" s="4" t="str">
        <f>MID(Timezone[[#This Row],[GMT Offset]], 5, 6) &amp; " - " &amp; Timezone[[#This Row],[Country Name]] &amp; " (" &amp;Timezone[[#This Row],[Time Zone]] &amp; ")"</f>
        <v>+03:00 - Bahrain (Asia/Bahrain)</v>
      </c>
    </row>
    <row r="52" spans="1:5" x14ac:dyDescent="0.2">
      <c r="A52" s="4" t="s">
        <v>146</v>
      </c>
      <c r="B52" s="4" t="s">
        <v>147</v>
      </c>
      <c r="C52" s="4" t="s">
        <v>148</v>
      </c>
      <c r="D52" s="4" t="s">
        <v>91</v>
      </c>
      <c r="E52" s="4" t="str">
        <f>MID(Timezone[[#This Row],[GMT Offset]], 5, 6) &amp; " - " &amp; Timezone[[#This Row],[Country Name]] &amp; " (" &amp;Timezone[[#This Row],[Time Zone]] &amp; ")"</f>
        <v>+06:00 - Bangladesh (Asia/Dhaka)</v>
      </c>
    </row>
    <row r="53" spans="1:5" x14ac:dyDescent="0.2">
      <c r="A53" s="4" t="s">
        <v>149</v>
      </c>
      <c r="B53" s="4" t="s">
        <v>150</v>
      </c>
      <c r="C53" s="4" t="s">
        <v>151</v>
      </c>
      <c r="D53" s="4" t="s">
        <v>72</v>
      </c>
      <c r="E53" s="4" t="str">
        <f>MID(Timezone[[#This Row],[GMT Offset]], 5, 6) &amp; " - " &amp; Timezone[[#This Row],[Country Name]] &amp; " (" &amp;Timezone[[#This Row],[Time Zone]] &amp; ")"</f>
        <v>-04:00 - Barbados (America/Barbados)</v>
      </c>
    </row>
    <row r="54" spans="1:5" x14ac:dyDescent="0.2">
      <c r="A54" s="4" t="s">
        <v>152</v>
      </c>
      <c r="B54" s="4" t="s">
        <v>153</v>
      </c>
      <c r="C54" s="4" t="s">
        <v>154</v>
      </c>
      <c r="D54" s="4" t="s">
        <v>50</v>
      </c>
      <c r="E54" s="4" t="str">
        <f>MID(Timezone[[#This Row],[GMT Offset]], 5, 6) &amp; " - " &amp; Timezone[[#This Row],[Country Name]] &amp; " (" &amp;Timezone[[#This Row],[Time Zone]] &amp; ")"</f>
        <v>+03:00 - Belarus (Europe/Minsk)</v>
      </c>
    </row>
    <row r="55" spans="1:5" x14ac:dyDescent="0.2">
      <c r="A55" s="4" t="s">
        <v>155</v>
      </c>
      <c r="B55" s="4" t="s">
        <v>156</v>
      </c>
      <c r="C55" s="4" t="s">
        <v>157</v>
      </c>
      <c r="D55" s="4" t="s">
        <v>54</v>
      </c>
      <c r="E55" s="4" t="str">
        <f>MID(Timezone[[#This Row],[GMT Offset]], 5, 6) &amp; " - " &amp; Timezone[[#This Row],[Country Name]] &amp; " (" &amp;Timezone[[#This Row],[Time Zone]] &amp; ")"</f>
        <v>+02:00 - Belgium (Europe/Brussels)</v>
      </c>
    </row>
    <row r="56" spans="1:5" x14ac:dyDescent="0.2">
      <c r="A56" s="4" t="s">
        <v>158</v>
      </c>
      <c r="B56" s="4" t="s">
        <v>159</v>
      </c>
      <c r="C56" s="4" t="s">
        <v>160</v>
      </c>
      <c r="D56" s="4" t="s">
        <v>161</v>
      </c>
      <c r="E56" s="4" t="str">
        <f>MID(Timezone[[#This Row],[GMT Offset]], 5, 6) &amp; " - " &amp; Timezone[[#This Row],[Country Name]] &amp; " (" &amp;Timezone[[#This Row],[Time Zone]] &amp; ")"</f>
        <v>-06:00 - Belize (America/Belize)</v>
      </c>
    </row>
    <row r="57" spans="1:5" x14ac:dyDescent="0.2">
      <c r="A57" s="4" t="s">
        <v>162</v>
      </c>
      <c r="B57" s="4" t="s">
        <v>163</v>
      </c>
      <c r="C57" s="4" t="s">
        <v>164</v>
      </c>
      <c r="D57" s="4" t="s">
        <v>58</v>
      </c>
      <c r="E57" s="4" t="str">
        <f>MID(Timezone[[#This Row],[GMT Offset]], 5, 6) &amp; " - " &amp; Timezone[[#This Row],[Country Name]] &amp; " (" &amp;Timezone[[#This Row],[Time Zone]] &amp; ")"</f>
        <v>+01:00 - Benin (Africa/Porto-Novo)</v>
      </c>
    </row>
    <row r="58" spans="1:5" x14ac:dyDescent="0.2">
      <c r="A58" s="4" t="s">
        <v>165</v>
      </c>
      <c r="B58" s="4" t="s">
        <v>166</v>
      </c>
      <c r="C58" s="4" t="s">
        <v>167</v>
      </c>
      <c r="D58" s="4" t="s">
        <v>86</v>
      </c>
      <c r="E58" s="4" t="str">
        <f>MID(Timezone[[#This Row],[GMT Offset]], 5, 6) &amp; " - " &amp; Timezone[[#This Row],[Country Name]] &amp; " (" &amp;Timezone[[#This Row],[Time Zone]] &amp; ")"</f>
        <v>-03:00 - Bermuda (Atlantic/Bermuda)</v>
      </c>
    </row>
    <row r="59" spans="1:5" x14ac:dyDescent="0.2">
      <c r="A59" s="4" t="s">
        <v>168</v>
      </c>
      <c r="B59" s="4" t="s">
        <v>169</v>
      </c>
      <c r="C59" s="4" t="s">
        <v>170</v>
      </c>
      <c r="D59" s="4" t="s">
        <v>91</v>
      </c>
      <c r="E59" s="4" t="str">
        <f>MID(Timezone[[#This Row],[GMT Offset]], 5, 6) &amp; " - " &amp; Timezone[[#This Row],[Country Name]] &amp; " (" &amp;Timezone[[#This Row],[Time Zone]] &amp; ")"</f>
        <v>+06:00 - Bhutan (Asia/Thimphu)</v>
      </c>
    </row>
    <row r="60" spans="1:5" x14ac:dyDescent="0.2">
      <c r="A60" s="4" t="s">
        <v>171</v>
      </c>
      <c r="B60" s="4" t="s">
        <v>172</v>
      </c>
      <c r="C60" s="4" t="s">
        <v>173</v>
      </c>
      <c r="D60" s="4" t="s">
        <v>72</v>
      </c>
      <c r="E60" s="4" t="str">
        <f>MID(Timezone[[#This Row],[GMT Offset]], 5, 6) &amp; " - " &amp; Timezone[[#This Row],[Country Name]] &amp; " (" &amp;Timezone[[#This Row],[Time Zone]] &amp; ")"</f>
        <v>-04:00 - Bolivia (America/La_Paz)</v>
      </c>
    </row>
    <row r="61" spans="1:5" x14ac:dyDescent="0.2">
      <c r="A61" s="4" t="s">
        <v>174</v>
      </c>
      <c r="B61" s="4" t="s">
        <v>175</v>
      </c>
      <c r="C61" s="4" t="s">
        <v>176</v>
      </c>
      <c r="D61" s="4" t="s">
        <v>72</v>
      </c>
      <c r="E61" s="4" t="str">
        <f>MID(Timezone[[#This Row],[GMT Offset]], 5, 6) &amp; " - " &amp; Timezone[[#This Row],[Country Name]] &amp; " (" &amp;Timezone[[#This Row],[Time Zone]] &amp; ")"</f>
        <v>-04:00 - Bonaire, Saint Eustatius and Saba (America/Kralendijk)</v>
      </c>
    </row>
    <row r="62" spans="1:5" x14ac:dyDescent="0.2">
      <c r="A62" s="4" t="s">
        <v>177</v>
      </c>
      <c r="B62" s="4" t="s">
        <v>178</v>
      </c>
      <c r="C62" s="4" t="s">
        <v>179</v>
      </c>
      <c r="D62" s="4" t="s">
        <v>54</v>
      </c>
      <c r="E62" s="4" t="str">
        <f>MID(Timezone[[#This Row],[GMT Offset]], 5, 6) &amp; " - " &amp; Timezone[[#This Row],[Country Name]] &amp; " (" &amp;Timezone[[#This Row],[Time Zone]] &amp; ")"</f>
        <v>+02:00 - Bosnia and Herzegovina (Europe/Sarajevo)</v>
      </c>
    </row>
    <row r="63" spans="1:5" x14ac:dyDescent="0.2">
      <c r="A63" s="4" t="s">
        <v>180</v>
      </c>
      <c r="B63" s="4" t="s">
        <v>181</v>
      </c>
      <c r="C63" s="4" t="s">
        <v>182</v>
      </c>
      <c r="D63" s="4" t="s">
        <v>54</v>
      </c>
      <c r="E63" s="4" t="str">
        <f>MID(Timezone[[#This Row],[GMT Offset]], 5, 6) &amp; " - " &amp; Timezone[[#This Row],[Country Name]] &amp; " (" &amp;Timezone[[#This Row],[Time Zone]] &amp; ")"</f>
        <v>+02:00 - Botswana (Africa/Gaborone)</v>
      </c>
    </row>
    <row r="64" spans="1:5" x14ac:dyDescent="0.2">
      <c r="A64" s="4" t="s">
        <v>183</v>
      </c>
      <c r="B64" s="4" t="s">
        <v>184</v>
      </c>
      <c r="C64" s="4" t="s">
        <v>185</v>
      </c>
      <c r="D64" s="4" t="s">
        <v>86</v>
      </c>
      <c r="E64" s="4" t="str">
        <f>MID(Timezone[[#This Row],[GMT Offset]], 5, 6) &amp; " - " &amp; Timezone[[#This Row],[Country Name]] &amp; " (" &amp;Timezone[[#This Row],[Time Zone]] &amp; ")"</f>
        <v>-03:00 - Brazil (America/Araguaina)</v>
      </c>
    </row>
    <row r="65" spans="1:5" x14ac:dyDescent="0.2">
      <c r="A65" s="4" t="s">
        <v>183</v>
      </c>
      <c r="B65" s="4" t="s">
        <v>184</v>
      </c>
      <c r="C65" s="4" t="s">
        <v>186</v>
      </c>
      <c r="D65" s="4" t="s">
        <v>86</v>
      </c>
      <c r="E65" s="4" t="str">
        <f>MID(Timezone[[#This Row],[GMT Offset]], 5, 6) &amp; " - " &amp; Timezone[[#This Row],[Country Name]] &amp; " (" &amp;Timezone[[#This Row],[Time Zone]] &amp; ")"</f>
        <v>-03:00 - Brazil (America/Bahia)</v>
      </c>
    </row>
    <row r="66" spans="1:5" x14ac:dyDescent="0.2">
      <c r="A66" s="4" t="s">
        <v>183</v>
      </c>
      <c r="B66" s="4" t="s">
        <v>184</v>
      </c>
      <c r="C66" s="4" t="s">
        <v>187</v>
      </c>
      <c r="D66" s="4" t="s">
        <v>86</v>
      </c>
      <c r="E66" s="4" t="str">
        <f>MID(Timezone[[#This Row],[GMT Offset]], 5, 6) &amp; " - " &amp; Timezone[[#This Row],[Country Name]] &amp; " (" &amp;Timezone[[#This Row],[Time Zone]] &amp; ")"</f>
        <v>-03:00 - Brazil (America/Belem)</v>
      </c>
    </row>
    <row r="67" spans="1:5" x14ac:dyDescent="0.2">
      <c r="A67" s="4" t="s">
        <v>183</v>
      </c>
      <c r="B67" s="4" t="s">
        <v>184</v>
      </c>
      <c r="C67" s="4" t="s">
        <v>188</v>
      </c>
      <c r="D67" s="4" t="s">
        <v>72</v>
      </c>
      <c r="E67" s="4" t="str">
        <f>MID(Timezone[[#This Row],[GMT Offset]], 5, 6) &amp; " - " &amp; Timezone[[#This Row],[Country Name]] &amp; " (" &amp;Timezone[[#This Row],[Time Zone]] &amp; ")"</f>
        <v>-04:00 - Brazil (America/Boa_Vista)</v>
      </c>
    </row>
    <row r="68" spans="1:5" x14ac:dyDescent="0.2">
      <c r="A68" s="4" t="s">
        <v>183</v>
      </c>
      <c r="B68" s="4" t="s">
        <v>184</v>
      </c>
      <c r="C68" s="4" t="s">
        <v>189</v>
      </c>
      <c r="D68" s="4" t="s">
        <v>72</v>
      </c>
      <c r="E68" s="4" t="str">
        <f>MID(Timezone[[#This Row],[GMT Offset]], 5, 6) &amp; " - " &amp; Timezone[[#This Row],[Country Name]] &amp; " (" &amp;Timezone[[#This Row],[Time Zone]] &amp; ")"</f>
        <v>-04:00 - Brazil (America/Campo_Grande)</v>
      </c>
    </row>
    <row r="69" spans="1:5" x14ac:dyDescent="0.2">
      <c r="A69" s="4" t="s">
        <v>183</v>
      </c>
      <c r="B69" s="4" t="s">
        <v>184</v>
      </c>
      <c r="C69" s="4" t="s">
        <v>190</v>
      </c>
      <c r="D69" s="4" t="s">
        <v>72</v>
      </c>
      <c r="E69" s="4" t="str">
        <f>MID(Timezone[[#This Row],[GMT Offset]], 5, 6) &amp; " - " &amp; Timezone[[#This Row],[Country Name]] &amp; " (" &amp;Timezone[[#This Row],[Time Zone]] &amp; ")"</f>
        <v>-04:00 - Brazil (America/Cuiaba)</v>
      </c>
    </row>
    <row r="70" spans="1:5" x14ac:dyDescent="0.2">
      <c r="A70" s="4" t="s">
        <v>183</v>
      </c>
      <c r="B70" s="4" t="s">
        <v>184</v>
      </c>
      <c r="C70" s="4" t="s">
        <v>191</v>
      </c>
      <c r="D70" s="4" t="s">
        <v>192</v>
      </c>
      <c r="E70" s="4" t="str">
        <f>MID(Timezone[[#This Row],[GMT Offset]], 5, 6) &amp; " - " &amp; Timezone[[#This Row],[Country Name]] &amp; " (" &amp;Timezone[[#This Row],[Time Zone]] &amp; ")"</f>
        <v>-05:00 - Brazil (America/Eirunepe)</v>
      </c>
    </row>
    <row r="71" spans="1:5" x14ac:dyDescent="0.2">
      <c r="A71" s="4" t="s">
        <v>183</v>
      </c>
      <c r="B71" s="4" t="s">
        <v>184</v>
      </c>
      <c r="C71" s="4" t="s">
        <v>193</v>
      </c>
      <c r="D71" s="4" t="s">
        <v>86</v>
      </c>
      <c r="E71" s="4" t="str">
        <f>MID(Timezone[[#This Row],[GMT Offset]], 5, 6) &amp; " - " &amp; Timezone[[#This Row],[Country Name]] &amp; " (" &amp;Timezone[[#This Row],[Time Zone]] &amp; ")"</f>
        <v>-03:00 - Brazil (America/Fortaleza)</v>
      </c>
    </row>
    <row r="72" spans="1:5" x14ac:dyDescent="0.2">
      <c r="A72" s="4" t="s">
        <v>183</v>
      </c>
      <c r="B72" s="4" t="s">
        <v>184</v>
      </c>
      <c r="C72" s="4" t="s">
        <v>194</v>
      </c>
      <c r="D72" s="4" t="s">
        <v>86</v>
      </c>
      <c r="E72" s="4" t="str">
        <f>MID(Timezone[[#This Row],[GMT Offset]], 5, 6) &amp; " - " &amp; Timezone[[#This Row],[Country Name]] &amp; " (" &amp;Timezone[[#This Row],[Time Zone]] &amp; ")"</f>
        <v>-03:00 - Brazil (America/Maceio)</v>
      </c>
    </row>
    <row r="73" spans="1:5" x14ac:dyDescent="0.2">
      <c r="A73" s="4" t="s">
        <v>183</v>
      </c>
      <c r="B73" s="4" t="s">
        <v>184</v>
      </c>
      <c r="C73" s="4" t="s">
        <v>195</v>
      </c>
      <c r="D73" s="4" t="s">
        <v>72</v>
      </c>
      <c r="E73" s="4" t="str">
        <f>MID(Timezone[[#This Row],[GMT Offset]], 5, 6) &amp; " - " &amp; Timezone[[#This Row],[Country Name]] &amp; " (" &amp;Timezone[[#This Row],[Time Zone]] &amp; ")"</f>
        <v>-04:00 - Brazil (America/Manaus)</v>
      </c>
    </row>
    <row r="74" spans="1:5" x14ac:dyDescent="0.2">
      <c r="A74" s="4" t="s">
        <v>183</v>
      </c>
      <c r="B74" s="4" t="s">
        <v>184</v>
      </c>
      <c r="C74" s="4" t="s">
        <v>196</v>
      </c>
      <c r="D74" s="4" t="s">
        <v>197</v>
      </c>
      <c r="E74" s="4" t="str">
        <f>MID(Timezone[[#This Row],[GMT Offset]], 5, 6) &amp; " - " &amp; Timezone[[#This Row],[Country Name]] &amp; " (" &amp;Timezone[[#This Row],[Time Zone]] &amp; ")"</f>
        <v>-02:00 - Brazil (America/Noronha)</v>
      </c>
    </row>
    <row r="75" spans="1:5" x14ac:dyDescent="0.2">
      <c r="A75" s="4" t="s">
        <v>183</v>
      </c>
      <c r="B75" s="4" t="s">
        <v>184</v>
      </c>
      <c r="C75" s="4" t="s">
        <v>198</v>
      </c>
      <c r="D75" s="4" t="s">
        <v>72</v>
      </c>
      <c r="E75" s="4" t="str">
        <f>MID(Timezone[[#This Row],[GMT Offset]], 5, 6) &amp; " - " &amp; Timezone[[#This Row],[Country Name]] &amp; " (" &amp;Timezone[[#This Row],[Time Zone]] &amp; ")"</f>
        <v>-04:00 - Brazil (America/Porto_Velho)</v>
      </c>
    </row>
    <row r="76" spans="1:5" x14ac:dyDescent="0.2">
      <c r="A76" s="4" t="s">
        <v>183</v>
      </c>
      <c r="B76" s="4" t="s">
        <v>184</v>
      </c>
      <c r="C76" s="4" t="s">
        <v>199</v>
      </c>
      <c r="D76" s="4" t="s">
        <v>86</v>
      </c>
      <c r="E76" s="4" t="str">
        <f>MID(Timezone[[#This Row],[GMT Offset]], 5, 6) &amp; " - " &amp; Timezone[[#This Row],[Country Name]] &amp; " (" &amp;Timezone[[#This Row],[Time Zone]] &amp; ")"</f>
        <v>-03:00 - Brazil (America/Recife)</v>
      </c>
    </row>
    <row r="77" spans="1:5" x14ac:dyDescent="0.2">
      <c r="A77" s="4" t="s">
        <v>183</v>
      </c>
      <c r="B77" s="4" t="s">
        <v>184</v>
      </c>
      <c r="C77" s="4" t="s">
        <v>200</v>
      </c>
      <c r="D77" s="4" t="s">
        <v>192</v>
      </c>
      <c r="E77" s="4" t="str">
        <f>MID(Timezone[[#This Row],[GMT Offset]], 5, 6) &amp; " - " &amp; Timezone[[#This Row],[Country Name]] &amp; " (" &amp;Timezone[[#This Row],[Time Zone]] &amp; ")"</f>
        <v>-05:00 - Brazil (America/Rio_Branco)</v>
      </c>
    </row>
    <row r="78" spans="1:5" x14ac:dyDescent="0.2">
      <c r="A78" s="4" t="s">
        <v>183</v>
      </c>
      <c r="B78" s="4" t="s">
        <v>184</v>
      </c>
      <c r="C78" s="4" t="s">
        <v>201</v>
      </c>
      <c r="D78" s="4" t="s">
        <v>86</v>
      </c>
      <c r="E78" s="4" t="str">
        <f>MID(Timezone[[#This Row],[GMT Offset]], 5, 6) &amp; " - " &amp; Timezone[[#This Row],[Country Name]] &amp; " (" &amp;Timezone[[#This Row],[Time Zone]] &amp; ")"</f>
        <v>-03:00 - Brazil (America/Santarem)</v>
      </c>
    </row>
    <row r="79" spans="1:5" x14ac:dyDescent="0.2">
      <c r="A79" s="4" t="s">
        <v>183</v>
      </c>
      <c r="B79" s="4" t="s">
        <v>184</v>
      </c>
      <c r="C79" s="4" t="s">
        <v>202</v>
      </c>
      <c r="D79" s="4" t="s">
        <v>86</v>
      </c>
      <c r="E79" s="4" t="str">
        <f>MID(Timezone[[#This Row],[GMT Offset]], 5, 6) &amp; " - " &amp; Timezone[[#This Row],[Country Name]] &amp; " (" &amp;Timezone[[#This Row],[Time Zone]] &amp; ")"</f>
        <v>-03:00 - Brazil (America/Sao_Paulo)</v>
      </c>
    </row>
    <row r="80" spans="1:5" x14ac:dyDescent="0.2">
      <c r="A80" s="4" t="s">
        <v>203</v>
      </c>
      <c r="B80" s="4" t="s">
        <v>204</v>
      </c>
      <c r="C80" s="4" t="s">
        <v>205</v>
      </c>
      <c r="D80" s="4" t="s">
        <v>91</v>
      </c>
      <c r="E80" s="4" t="str">
        <f>MID(Timezone[[#This Row],[GMT Offset]], 5, 6) &amp; " - " &amp; Timezone[[#This Row],[Country Name]] &amp; " (" &amp;Timezone[[#This Row],[Time Zone]] &amp; ")"</f>
        <v>+06:00 - British Indian Ocean Territory (Indian/Chagos)</v>
      </c>
    </row>
    <row r="81" spans="1:5" x14ac:dyDescent="0.2">
      <c r="A81" s="4" t="s">
        <v>206</v>
      </c>
      <c r="B81" s="4" t="s">
        <v>207</v>
      </c>
      <c r="C81" s="4" t="s">
        <v>208</v>
      </c>
      <c r="D81" s="4" t="s">
        <v>72</v>
      </c>
      <c r="E81" s="4" t="str">
        <f>MID(Timezone[[#This Row],[GMT Offset]], 5, 6) &amp; " - " &amp; Timezone[[#This Row],[Country Name]] &amp; " (" &amp;Timezone[[#This Row],[Time Zone]] &amp; ")"</f>
        <v>-04:00 - British Virgin Islands (America/Tortola)</v>
      </c>
    </row>
    <row r="82" spans="1:5" x14ac:dyDescent="0.2">
      <c r="A82" s="4" t="s">
        <v>209</v>
      </c>
      <c r="B82" s="4" t="s">
        <v>210</v>
      </c>
      <c r="C82" s="4" t="s">
        <v>211</v>
      </c>
      <c r="D82" s="4" t="s">
        <v>76</v>
      </c>
      <c r="E82" s="4" t="str">
        <f>MID(Timezone[[#This Row],[GMT Offset]], 5, 6) &amp; " - " &amp; Timezone[[#This Row],[Country Name]] &amp; " (" &amp;Timezone[[#This Row],[Time Zone]] &amp; ")"</f>
        <v>+08:00 - Brunei (Asia/Brunei)</v>
      </c>
    </row>
    <row r="83" spans="1:5" x14ac:dyDescent="0.2">
      <c r="A83" s="4" t="s">
        <v>212</v>
      </c>
      <c r="B83" s="4" t="s">
        <v>213</v>
      </c>
      <c r="C83" s="4" t="s">
        <v>214</v>
      </c>
      <c r="D83" s="4" t="s">
        <v>50</v>
      </c>
      <c r="E83" s="4" t="str">
        <f>MID(Timezone[[#This Row],[GMT Offset]], 5, 6) &amp; " - " &amp; Timezone[[#This Row],[Country Name]] &amp; " (" &amp;Timezone[[#This Row],[Time Zone]] &amp; ")"</f>
        <v>+03:00 - Bulgaria (Europe/Sofia)</v>
      </c>
    </row>
    <row r="84" spans="1:5" x14ac:dyDescent="0.2">
      <c r="A84" s="4" t="s">
        <v>215</v>
      </c>
      <c r="B84" s="4" t="s">
        <v>216</v>
      </c>
      <c r="C84" s="4" t="s">
        <v>217</v>
      </c>
      <c r="D84" s="4" t="s">
        <v>995</v>
      </c>
      <c r="E84" s="4" t="str">
        <f>MID(Timezone[[#This Row],[GMT Offset]], 5, 6) &amp; " - " &amp; Timezone[[#This Row],[Country Name]] &amp; " (" &amp;Timezone[[#This Row],[Time Zone]] &amp; ")"</f>
        <v>+00:00 - Burkina Faso (Africa/Ouagadougou)</v>
      </c>
    </row>
    <row r="85" spans="1:5" x14ac:dyDescent="0.2">
      <c r="A85" s="4" t="s">
        <v>219</v>
      </c>
      <c r="B85" s="4" t="s">
        <v>220</v>
      </c>
      <c r="C85" s="4" t="s">
        <v>221</v>
      </c>
      <c r="D85" s="4" t="s">
        <v>54</v>
      </c>
      <c r="E85" s="4" t="str">
        <f>MID(Timezone[[#This Row],[GMT Offset]], 5, 6) &amp; " - " &amp; Timezone[[#This Row],[Country Name]] &amp; " (" &amp;Timezone[[#This Row],[Time Zone]] &amp; ")"</f>
        <v>+02:00 - Burundi (Africa/Bujumbura)</v>
      </c>
    </row>
    <row r="86" spans="1:5" x14ac:dyDescent="0.2">
      <c r="A86" s="4" t="s">
        <v>222</v>
      </c>
      <c r="B86" s="4" t="s">
        <v>223</v>
      </c>
      <c r="C86" s="4" t="s">
        <v>224</v>
      </c>
      <c r="D86" s="4" t="s">
        <v>78</v>
      </c>
      <c r="E86" s="4" t="str">
        <f>MID(Timezone[[#This Row],[GMT Offset]], 5, 6) &amp; " - " &amp; Timezone[[#This Row],[Country Name]] &amp; " (" &amp;Timezone[[#This Row],[Time Zone]] &amp; ")"</f>
        <v>+07:00 - Cambodia (Asia/Phnom_Penh)</v>
      </c>
    </row>
    <row r="87" spans="1:5" x14ac:dyDescent="0.2">
      <c r="A87" s="4" t="s">
        <v>225</v>
      </c>
      <c r="B87" s="4" t="s">
        <v>226</v>
      </c>
      <c r="C87" s="4" t="s">
        <v>227</v>
      </c>
      <c r="D87" s="4" t="s">
        <v>58</v>
      </c>
      <c r="E87" s="4" t="str">
        <f>MID(Timezone[[#This Row],[GMT Offset]], 5, 6) &amp; " - " &amp; Timezone[[#This Row],[Country Name]] &amp; " (" &amp;Timezone[[#This Row],[Time Zone]] &amp; ")"</f>
        <v>+01:00 - Cameroon (Africa/Douala)</v>
      </c>
    </row>
    <row r="88" spans="1:5" x14ac:dyDescent="0.2">
      <c r="A88" s="4" t="s">
        <v>228</v>
      </c>
      <c r="B88" s="4" t="s">
        <v>229</v>
      </c>
      <c r="C88" s="4" t="s">
        <v>230</v>
      </c>
      <c r="D88" s="4" t="s">
        <v>192</v>
      </c>
      <c r="E88" s="4" t="str">
        <f>MID(Timezone[[#This Row],[GMT Offset]], 5, 6) &amp; " - " &amp; Timezone[[#This Row],[Country Name]] &amp; " (" &amp;Timezone[[#This Row],[Time Zone]] &amp; ")"</f>
        <v>-05:00 - Canada (America/Atikokan)</v>
      </c>
    </row>
    <row r="89" spans="1:5" x14ac:dyDescent="0.2">
      <c r="A89" s="4" t="s">
        <v>228</v>
      </c>
      <c r="B89" s="4" t="s">
        <v>229</v>
      </c>
      <c r="C89" s="4" t="s">
        <v>231</v>
      </c>
      <c r="D89" s="4" t="s">
        <v>72</v>
      </c>
      <c r="E89" s="4" t="str">
        <f>MID(Timezone[[#This Row],[GMT Offset]], 5, 6) &amp; " - " &amp; Timezone[[#This Row],[Country Name]] &amp; " (" &amp;Timezone[[#This Row],[Time Zone]] &amp; ")"</f>
        <v>-04:00 - Canada (America/Blanc-Sablon)</v>
      </c>
    </row>
    <row r="90" spans="1:5" x14ac:dyDescent="0.2">
      <c r="A90" s="4" t="s">
        <v>228</v>
      </c>
      <c r="B90" s="4" t="s">
        <v>229</v>
      </c>
      <c r="C90" s="4" t="s">
        <v>232</v>
      </c>
      <c r="D90" s="4" t="s">
        <v>161</v>
      </c>
      <c r="E90" s="4" t="str">
        <f>MID(Timezone[[#This Row],[GMT Offset]], 5, 6) &amp; " - " &amp; Timezone[[#This Row],[Country Name]] &amp; " (" &amp;Timezone[[#This Row],[Time Zone]] &amp; ")"</f>
        <v>-06:00 - Canada (America/Cambridge_Bay)</v>
      </c>
    </row>
    <row r="91" spans="1:5" x14ac:dyDescent="0.2">
      <c r="A91" s="4" t="s">
        <v>228</v>
      </c>
      <c r="B91" s="4" t="s">
        <v>229</v>
      </c>
      <c r="C91" s="4" t="s">
        <v>233</v>
      </c>
      <c r="D91" s="4" t="s">
        <v>234</v>
      </c>
      <c r="E91" s="4" t="str">
        <f>MID(Timezone[[#This Row],[GMT Offset]], 5, 6) &amp; " - " &amp; Timezone[[#This Row],[Country Name]] &amp; " (" &amp;Timezone[[#This Row],[Time Zone]] &amp; ")"</f>
        <v>-07:00 - Canada (America/Creston)</v>
      </c>
    </row>
    <row r="92" spans="1:5" x14ac:dyDescent="0.2">
      <c r="A92" s="4" t="s">
        <v>228</v>
      </c>
      <c r="B92" s="4" t="s">
        <v>229</v>
      </c>
      <c r="C92" s="4" t="s">
        <v>235</v>
      </c>
      <c r="D92" s="4" t="s">
        <v>234</v>
      </c>
      <c r="E92" s="4" t="str">
        <f>MID(Timezone[[#This Row],[GMT Offset]], 5, 6) &amp; " - " &amp; Timezone[[#This Row],[Country Name]] &amp; " (" &amp;Timezone[[#This Row],[Time Zone]] &amp; ")"</f>
        <v>-07:00 - Canada (America/Dawson)</v>
      </c>
    </row>
    <row r="93" spans="1:5" x14ac:dyDescent="0.2">
      <c r="A93" s="4" t="s">
        <v>228</v>
      </c>
      <c r="B93" s="4" t="s">
        <v>229</v>
      </c>
      <c r="C93" s="4" t="s">
        <v>236</v>
      </c>
      <c r="D93" s="4" t="s">
        <v>234</v>
      </c>
      <c r="E93" s="4" t="str">
        <f>MID(Timezone[[#This Row],[GMT Offset]], 5, 6) &amp; " - " &amp; Timezone[[#This Row],[Country Name]] &amp; " (" &amp;Timezone[[#This Row],[Time Zone]] &amp; ")"</f>
        <v>-07:00 - Canada (America/Dawson_Creek)</v>
      </c>
    </row>
    <row r="94" spans="1:5" x14ac:dyDescent="0.2">
      <c r="A94" s="4" t="s">
        <v>228</v>
      </c>
      <c r="B94" s="4" t="s">
        <v>229</v>
      </c>
      <c r="C94" s="4" t="s">
        <v>237</v>
      </c>
      <c r="D94" s="4" t="s">
        <v>161</v>
      </c>
      <c r="E94" s="4" t="str">
        <f>MID(Timezone[[#This Row],[GMT Offset]], 5, 6) &amp; " - " &amp; Timezone[[#This Row],[Country Name]] &amp; " (" &amp;Timezone[[#This Row],[Time Zone]] &amp; ")"</f>
        <v>-06:00 - Canada (America/Edmonton)</v>
      </c>
    </row>
    <row r="95" spans="1:5" x14ac:dyDescent="0.2">
      <c r="A95" s="4" t="s">
        <v>228</v>
      </c>
      <c r="B95" s="4" t="s">
        <v>229</v>
      </c>
      <c r="C95" s="4" t="s">
        <v>238</v>
      </c>
      <c r="D95" s="4" t="s">
        <v>234</v>
      </c>
      <c r="E95" s="4" t="str">
        <f>MID(Timezone[[#This Row],[GMT Offset]], 5, 6) &amp; " - " &amp; Timezone[[#This Row],[Country Name]] &amp; " (" &amp;Timezone[[#This Row],[Time Zone]] &amp; ")"</f>
        <v>-07:00 - Canada (America/Fort_Nelson)</v>
      </c>
    </row>
    <row r="96" spans="1:5" x14ac:dyDescent="0.2">
      <c r="A96" s="4" t="s">
        <v>228</v>
      </c>
      <c r="B96" s="4" t="s">
        <v>229</v>
      </c>
      <c r="C96" s="4" t="s">
        <v>239</v>
      </c>
      <c r="D96" s="4" t="s">
        <v>86</v>
      </c>
      <c r="E96" s="4" t="str">
        <f>MID(Timezone[[#This Row],[GMT Offset]], 5, 6) &amp; " - " &amp; Timezone[[#This Row],[Country Name]] &amp; " (" &amp;Timezone[[#This Row],[Time Zone]] &amp; ")"</f>
        <v>-03:00 - Canada (America/Glace_Bay)</v>
      </c>
    </row>
    <row r="97" spans="1:5" x14ac:dyDescent="0.2">
      <c r="A97" s="4" t="s">
        <v>228</v>
      </c>
      <c r="B97" s="4" t="s">
        <v>229</v>
      </c>
      <c r="C97" s="4" t="s">
        <v>240</v>
      </c>
      <c r="D97" s="4" t="s">
        <v>86</v>
      </c>
      <c r="E97" s="4" t="str">
        <f>MID(Timezone[[#This Row],[GMT Offset]], 5, 6) &amp; " - " &amp; Timezone[[#This Row],[Country Name]] &amp; " (" &amp;Timezone[[#This Row],[Time Zone]] &amp; ")"</f>
        <v>-03:00 - Canada (America/Goose_Bay)</v>
      </c>
    </row>
    <row r="98" spans="1:5" x14ac:dyDescent="0.2">
      <c r="A98" s="4" t="s">
        <v>228</v>
      </c>
      <c r="B98" s="4" t="s">
        <v>229</v>
      </c>
      <c r="C98" s="4" t="s">
        <v>241</v>
      </c>
      <c r="D98" s="4" t="s">
        <v>86</v>
      </c>
      <c r="E98" s="4" t="str">
        <f>MID(Timezone[[#This Row],[GMT Offset]], 5, 6) &amp; " - " &amp; Timezone[[#This Row],[Country Name]] &amp; " (" &amp;Timezone[[#This Row],[Time Zone]] &amp; ")"</f>
        <v>-03:00 - Canada (America/Halifax)</v>
      </c>
    </row>
    <row r="99" spans="1:5" x14ac:dyDescent="0.2">
      <c r="A99" s="4" t="s">
        <v>228</v>
      </c>
      <c r="B99" s="4" t="s">
        <v>229</v>
      </c>
      <c r="C99" s="4" t="s">
        <v>242</v>
      </c>
      <c r="D99" s="4" t="s">
        <v>161</v>
      </c>
      <c r="E99" s="4" t="str">
        <f>MID(Timezone[[#This Row],[GMT Offset]], 5, 6) &amp; " - " &amp; Timezone[[#This Row],[Country Name]] &amp; " (" &amp;Timezone[[#This Row],[Time Zone]] &amp; ")"</f>
        <v>-06:00 - Canada (America/Inuvik)</v>
      </c>
    </row>
    <row r="100" spans="1:5" x14ac:dyDescent="0.2">
      <c r="A100" s="4" t="s">
        <v>228</v>
      </c>
      <c r="B100" s="4" t="s">
        <v>229</v>
      </c>
      <c r="C100" s="4" t="s">
        <v>243</v>
      </c>
      <c r="D100" s="4" t="s">
        <v>72</v>
      </c>
      <c r="E100" s="4" t="str">
        <f>MID(Timezone[[#This Row],[GMT Offset]], 5, 6) &amp; " - " &amp; Timezone[[#This Row],[Country Name]] &amp; " (" &amp;Timezone[[#This Row],[Time Zone]] &amp; ")"</f>
        <v>-04:00 - Canada (America/Iqaluit)</v>
      </c>
    </row>
    <row r="101" spans="1:5" x14ac:dyDescent="0.2">
      <c r="A101" s="4" t="s">
        <v>228</v>
      </c>
      <c r="B101" s="4" t="s">
        <v>229</v>
      </c>
      <c r="C101" s="4" t="s">
        <v>244</v>
      </c>
      <c r="D101" s="4" t="s">
        <v>86</v>
      </c>
      <c r="E101" s="4" t="str">
        <f>MID(Timezone[[#This Row],[GMT Offset]], 5, 6) &amp; " - " &amp; Timezone[[#This Row],[Country Name]] &amp; " (" &amp;Timezone[[#This Row],[Time Zone]] &amp; ")"</f>
        <v>-03:00 - Canada (America/Moncton)</v>
      </c>
    </row>
    <row r="102" spans="1:5" x14ac:dyDescent="0.2">
      <c r="A102" s="4" t="s">
        <v>228</v>
      </c>
      <c r="B102" s="4" t="s">
        <v>229</v>
      </c>
      <c r="C102" s="4" t="s">
        <v>245</v>
      </c>
      <c r="D102" s="4" t="s">
        <v>72</v>
      </c>
      <c r="E102" s="4" t="str">
        <f>MID(Timezone[[#This Row],[GMT Offset]], 5, 6) &amp; " - " &amp; Timezone[[#This Row],[Country Name]] &amp; " (" &amp;Timezone[[#This Row],[Time Zone]] &amp; ")"</f>
        <v>-04:00 - Canada (America/Nipigon)</v>
      </c>
    </row>
    <row r="103" spans="1:5" x14ac:dyDescent="0.2">
      <c r="A103" s="4" t="s">
        <v>228</v>
      </c>
      <c r="B103" s="4" t="s">
        <v>229</v>
      </c>
      <c r="C103" s="4" t="s">
        <v>246</v>
      </c>
      <c r="D103" s="4" t="s">
        <v>72</v>
      </c>
      <c r="E103" s="4" t="str">
        <f>MID(Timezone[[#This Row],[GMT Offset]], 5, 6) &amp; " - " &amp; Timezone[[#This Row],[Country Name]] &amp; " (" &amp;Timezone[[#This Row],[Time Zone]] &amp; ")"</f>
        <v>-04:00 - Canada (America/Pangnirtung)</v>
      </c>
    </row>
    <row r="104" spans="1:5" x14ac:dyDescent="0.2">
      <c r="A104" s="4" t="s">
        <v>228</v>
      </c>
      <c r="B104" s="4" t="s">
        <v>229</v>
      </c>
      <c r="C104" s="4" t="s">
        <v>247</v>
      </c>
      <c r="D104" s="4" t="s">
        <v>192</v>
      </c>
      <c r="E104" s="4" t="str">
        <f>MID(Timezone[[#This Row],[GMT Offset]], 5, 6) &amp; " - " &amp; Timezone[[#This Row],[Country Name]] &amp; " (" &amp;Timezone[[#This Row],[Time Zone]] &amp; ")"</f>
        <v>-05:00 - Canada (America/Rainy_River)</v>
      </c>
    </row>
    <row r="105" spans="1:5" x14ac:dyDescent="0.2">
      <c r="A105" s="4" t="s">
        <v>228</v>
      </c>
      <c r="B105" s="4" t="s">
        <v>229</v>
      </c>
      <c r="C105" s="4" t="s">
        <v>248</v>
      </c>
      <c r="D105" s="4" t="s">
        <v>192</v>
      </c>
      <c r="E105" s="4" t="str">
        <f>MID(Timezone[[#This Row],[GMT Offset]], 5, 6) &amp; " - " &amp; Timezone[[#This Row],[Country Name]] &amp; " (" &amp;Timezone[[#This Row],[Time Zone]] &amp; ")"</f>
        <v>-05:00 - Canada (America/Rankin_Inlet)</v>
      </c>
    </row>
    <row r="106" spans="1:5" x14ac:dyDescent="0.2">
      <c r="A106" s="4" t="s">
        <v>228</v>
      </c>
      <c r="B106" s="4" t="s">
        <v>229</v>
      </c>
      <c r="C106" s="4" t="s">
        <v>249</v>
      </c>
      <c r="D106" s="4" t="s">
        <v>161</v>
      </c>
      <c r="E106" s="4" t="str">
        <f>MID(Timezone[[#This Row],[GMT Offset]], 5, 6) &amp; " - " &amp; Timezone[[#This Row],[Country Name]] &amp; " (" &amp;Timezone[[#This Row],[Time Zone]] &amp; ")"</f>
        <v>-06:00 - Canada (America/Regina)</v>
      </c>
    </row>
    <row r="107" spans="1:5" x14ac:dyDescent="0.2">
      <c r="A107" s="4" t="s">
        <v>228</v>
      </c>
      <c r="B107" s="4" t="s">
        <v>229</v>
      </c>
      <c r="C107" s="4" t="s">
        <v>250</v>
      </c>
      <c r="D107" s="4" t="s">
        <v>192</v>
      </c>
      <c r="E107" s="4" t="str">
        <f>MID(Timezone[[#This Row],[GMT Offset]], 5, 6) &amp; " - " &amp; Timezone[[#This Row],[Country Name]] &amp; " (" &amp;Timezone[[#This Row],[Time Zone]] &amp; ")"</f>
        <v>-05:00 - Canada (America/Resolute)</v>
      </c>
    </row>
    <row r="108" spans="1:5" x14ac:dyDescent="0.2">
      <c r="A108" s="4" t="s">
        <v>228</v>
      </c>
      <c r="B108" s="4" t="s">
        <v>229</v>
      </c>
      <c r="C108" s="4" t="s">
        <v>251</v>
      </c>
      <c r="D108" s="4" t="s">
        <v>252</v>
      </c>
      <c r="E108" s="4" t="str">
        <f>MID(Timezone[[#This Row],[GMT Offset]], 5, 6) &amp; " - " &amp; Timezone[[#This Row],[Country Name]] &amp; " (" &amp;Timezone[[#This Row],[Time Zone]] &amp; ")"</f>
        <v>-02:30 - Canada (America/St_Johns)</v>
      </c>
    </row>
    <row r="109" spans="1:5" x14ac:dyDescent="0.2">
      <c r="A109" s="4" t="s">
        <v>228</v>
      </c>
      <c r="B109" s="4" t="s">
        <v>229</v>
      </c>
      <c r="C109" s="4" t="s">
        <v>253</v>
      </c>
      <c r="D109" s="4" t="s">
        <v>161</v>
      </c>
      <c r="E109" s="4" t="str">
        <f>MID(Timezone[[#This Row],[GMT Offset]], 5, 6) &amp; " - " &amp; Timezone[[#This Row],[Country Name]] &amp; " (" &amp;Timezone[[#This Row],[Time Zone]] &amp; ")"</f>
        <v>-06:00 - Canada (America/Swift_Current)</v>
      </c>
    </row>
    <row r="110" spans="1:5" x14ac:dyDescent="0.2">
      <c r="A110" s="4" t="s">
        <v>228</v>
      </c>
      <c r="B110" s="4" t="s">
        <v>229</v>
      </c>
      <c r="C110" s="4" t="s">
        <v>254</v>
      </c>
      <c r="D110" s="4" t="s">
        <v>72</v>
      </c>
      <c r="E110" s="4" t="str">
        <f>MID(Timezone[[#This Row],[GMT Offset]], 5, 6) &amp; " - " &amp; Timezone[[#This Row],[Country Name]] &amp; " (" &amp;Timezone[[#This Row],[Time Zone]] &amp; ")"</f>
        <v>-04:00 - Canada (America/Thunder_Bay)</v>
      </c>
    </row>
    <row r="111" spans="1:5" x14ac:dyDescent="0.2">
      <c r="A111" s="4" t="s">
        <v>228</v>
      </c>
      <c r="B111" s="4" t="s">
        <v>229</v>
      </c>
      <c r="C111" s="4" t="s">
        <v>255</v>
      </c>
      <c r="D111" s="4" t="s">
        <v>72</v>
      </c>
      <c r="E111" s="4" t="str">
        <f>MID(Timezone[[#This Row],[GMT Offset]], 5, 6) &amp; " - " &amp; Timezone[[#This Row],[Country Name]] &amp; " (" &amp;Timezone[[#This Row],[Time Zone]] &amp; ")"</f>
        <v>-04:00 - Canada (America/Toronto)</v>
      </c>
    </row>
    <row r="112" spans="1:5" x14ac:dyDescent="0.2">
      <c r="A112" s="4" t="s">
        <v>228</v>
      </c>
      <c r="B112" s="4" t="s">
        <v>229</v>
      </c>
      <c r="C112" s="4" t="s">
        <v>256</v>
      </c>
      <c r="D112" s="4" t="s">
        <v>234</v>
      </c>
      <c r="E112" s="4" t="str">
        <f>MID(Timezone[[#This Row],[GMT Offset]], 5, 6) &amp; " - " &amp; Timezone[[#This Row],[Country Name]] &amp; " (" &amp;Timezone[[#This Row],[Time Zone]] &amp; ")"</f>
        <v>-07:00 - Canada (America/Vancouver)</v>
      </c>
    </row>
    <row r="113" spans="1:5" x14ac:dyDescent="0.2">
      <c r="A113" s="4" t="s">
        <v>228</v>
      </c>
      <c r="B113" s="4" t="s">
        <v>229</v>
      </c>
      <c r="C113" s="4" t="s">
        <v>257</v>
      </c>
      <c r="D113" s="4" t="s">
        <v>234</v>
      </c>
      <c r="E113" s="4" t="str">
        <f>MID(Timezone[[#This Row],[GMT Offset]], 5, 6) &amp; " - " &amp; Timezone[[#This Row],[Country Name]] &amp; " (" &amp;Timezone[[#This Row],[Time Zone]] &amp; ")"</f>
        <v>-07:00 - Canada (America/Whitehorse)</v>
      </c>
    </row>
    <row r="114" spans="1:5" x14ac:dyDescent="0.2">
      <c r="A114" s="4" t="s">
        <v>228</v>
      </c>
      <c r="B114" s="4" t="s">
        <v>229</v>
      </c>
      <c r="C114" s="4" t="s">
        <v>258</v>
      </c>
      <c r="D114" s="4" t="s">
        <v>192</v>
      </c>
      <c r="E114" s="4" t="str">
        <f>MID(Timezone[[#This Row],[GMT Offset]], 5, 6) &amp; " - " &amp; Timezone[[#This Row],[Country Name]] &amp; " (" &amp;Timezone[[#This Row],[Time Zone]] &amp; ")"</f>
        <v>-05:00 - Canada (America/Winnipeg)</v>
      </c>
    </row>
    <row r="115" spans="1:5" x14ac:dyDescent="0.2">
      <c r="A115" s="4" t="s">
        <v>228</v>
      </c>
      <c r="B115" s="4" t="s">
        <v>229</v>
      </c>
      <c r="C115" s="4" t="s">
        <v>259</v>
      </c>
      <c r="D115" s="4" t="s">
        <v>161</v>
      </c>
      <c r="E115" s="4" t="str">
        <f>MID(Timezone[[#This Row],[GMT Offset]], 5, 6) &amp; " - " &amp; Timezone[[#This Row],[Country Name]] &amp; " (" &amp;Timezone[[#This Row],[Time Zone]] &amp; ")"</f>
        <v>-06:00 - Canada (America/Yellowknife)</v>
      </c>
    </row>
    <row r="116" spans="1:5" x14ac:dyDescent="0.2">
      <c r="A116" s="4" t="s">
        <v>260</v>
      </c>
      <c r="B116" s="4" t="s">
        <v>261</v>
      </c>
      <c r="C116" s="4" t="s">
        <v>262</v>
      </c>
      <c r="D116" s="4" t="s">
        <v>263</v>
      </c>
      <c r="E116" s="4" t="str">
        <f>MID(Timezone[[#This Row],[GMT Offset]], 5, 6) &amp; " - " &amp; Timezone[[#This Row],[Country Name]] &amp; " (" &amp;Timezone[[#This Row],[Time Zone]] &amp; ")"</f>
        <v>-01:00 - Cape Verde (Atlantic/Cape_Verde)</v>
      </c>
    </row>
    <row r="117" spans="1:5" x14ac:dyDescent="0.2">
      <c r="A117" s="4" t="s">
        <v>264</v>
      </c>
      <c r="B117" s="4" t="s">
        <v>265</v>
      </c>
      <c r="C117" s="4" t="s">
        <v>266</v>
      </c>
      <c r="D117" s="4" t="s">
        <v>192</v>
      </c>
      <c r="E117" s="4" t="str">
        <f>MID(Timezone[[#This Row],[GMT Offset]], 5, 6) &amp; " - " &amp; Timezone[[#This Row],[Country Name]] &amp; " (" &amp;Timezone[[#This Row],[Time Zone]] &amp; ")"</f>
        <v>-05:00 - Cayman Islands (America/Cayman)</v>
      </c>
    </row>
    <row r="118" spans="1:5" x14ac:dyDescent="0.2">
      <c r="A118" s="4" t="s">
        <v>267</v>
      </c>
      <c r="B118" s="4" t="s">
        <v>268</v>
      </c>
      <c r="C118" s="4" t="s">
        <v>269</v>
      </c>
      <c r="D118" s="4" t="s">
        <v>58</v>
      </c>
      <c r="E118" s="4" t="str">
        <f>MID(Timezone[[#This Row],[GMT Offset]], 5, 6) &amp; " - " &amp; Timezone[[#This Row],[Country Name]] &amp; " (" &amp;Timezone[[#This Row],[Time Zone]] &amp; ")"</f>
        <v>+01:00 - Central African Republic (Africa/Bangui)</v>
      </c>
    </row>
    <row r="119" spans="1:5" x14ac:dyDescent="0.2">
      <c r="A119" s="4" t="s">
        <v>270</v>
      </c>
      <c r="B119" s="4" t="s">
        <v>271</v>
      </c>
      <c r="C119" s="4" t="s">
        <v>272</v>
      </c>
      <c r="D119" s="4" t="s">
        <v>58</v>
      </c>
      <c r="E119" s="4" t="str">
        <f>MID(Timezone[[#This Row],[GMT Offset]], 5, 6) &amp; " - " &amp; Timezone[[#This Row],[Country Name]] &amp; " (" &amp;Timezone[[#This Row],[Time Zone]] &amp; ")"</f>
        <v>+01:00 - Chad (Africa/Ndjamena)</v>
      </c>
    </row>
    <row r="120" spans="1:5" x14ac:dyDescent="0.2">
      <c r="A120" s="4" t="s">
        <v>273</v>
      </c>
      <c r="B120" s="4" t="s">
        <v>274</v>
      </c>
      <c r="C120" s="4" t="s">
        <v>275</v>
      </c>
      <c r="D120" s="4" t="s">
        <v>86</v>
      </c>
      <c r="E120" s="4" t="str">
        <f>MID(Timezone[[#This Row],[GMT Offset]], 5, 6) &amp; " - " &amp; Timezone[[#This Row],[Country Name]] &amp; " (" &amp;Timezone[[#This Row],[Time Zone]] &amp; ")"</f>
        <v>-03:00 - Chile (America/Punta_Arenas)</v>
      </c>
    </row>
    <row r="121" spans="1:5" x14ac:dyDescent="0.2">
      <c r="A121" s="4" t="s">
        <v>273</v>
      </c>
      <c r="B121" s="4" t="s">
        <v>274</v>
      </c>
      <c r="C121" s="4" t="s">
        <v>276</v>
      </c>
      <c r="D121" s="4" t="s">
        <v>86</v>
      </c>
      <c r="E121" s="4" t="str">
        <f>MID(Timezone[[#This Row],[GMT Offset]], 5, 6) &amp; " - " &amp; Timezone[[#This Row],[Country Name]] &amp; " (" &amp;Timezone[[#This Row],[Time Zone]] &amp; ")"</f>
        <v>-03:00 - Chile (America/Santiago)</v>
      </c>
    </row>
    <row r="122" spans="1:5" x14ac:dyDescent="0.2">
      <c r="A122" s="4" t="s">
        <v>273</v>
      </c>
      <c r="B122" s="4" t="s">
        <v>274</v>
      </c>
      <c r="C122" s="4" t="s">
        <v>277</v>
      </c>
      <c r="D122" s="4" t="s">
        <v>192</v>
      </c>
      <c r="E122" s="4" t="str">
        <f>MID(Timezone[[#This Row],[GMT Offset]], 5, 6) &amp; " - " &amp; Timezone[[#This Row],[Country Name]] &amp; " (" &amp;Timezone[[#This Row],[Time Zone]] &amp; ")"</f>
        <v>-05:00 - Chile (Pacific/Easter)</v>
      </c>
    </row>
    <row r="123" spans="1:5" x14ac:dyDescent="0.2">
      <c r="A123" s="4" t="s">
        <v>278</v>
      </c>
      <c r="B123" s="4" t="s">
        <v>279</v>
      </c>
      <c r="C123" s="4" t="s">
        <v>280</v>
      </c>
      <c r="D123" s="4" t="s">
        <v>76</v>
      </c>
      <c r="E123" s="4" t="str">
        <f>MID(Timezone[[#This Row],[GMT Offset]], 5, 6) &amp; " - " &amp; Timezone[[#This Row],[Country Name]] &amp; " (" &amp;Timezone[[#This Row],[Time Zone]] &amp; ")"</f>
        <v>+08:00 - China (Asia/Shanghai)</v>
      </c>
    </row>
    <row r="124" spans="1:5" x14ac:dyDescent="0.2">
      <c r="A124" s="4" t="s">
        <v>278</v>
      </c>
      <c r="B124" s="4" t="s">
        <v>279</v>
      </c>
      <c r="C124" s="4" t="s">
        <v>281</v>
      </c>
      <c r="D124" s="4" t="s">
        <v>91</v>
      </c>
      <c r="E124" s="4" t="str">
        <f>MID(Timezone[[#This Row],[GMT Offset]], 5, 6) &amp; " - " &amp; Timezone[[#This Row],[Country Name]] &amp; " (" &amp;Timezone[[#This Row],[Time Zone]] &amp; ")"</f>
        <v>+06:00 - China (Asia/Urumqi)</v>
      </c>
    </row>
    <row r="125" spans="1:5" x14ac:dyDescent="0.2">
      <c r="A125" s="4" t="s">
        <v>282</v>
      </c>
      <c r="B125" s="4" t="s">
        <v>283</v>
      </c>
      <c r="C125" s="4" t="s">
        <v>284</v>
      </c>
      <c r="D125" s="4" t="s">
        <v>78</v>
      </c>
      <c r="E125" s="4" t="str">
        <f>MID(Timezone[[#This Row],[GMT Offset]], 5, 6) &amp; " - " &amp; Timezone[[#This Row],[Country Name]] &amp; " (" &amp;Timezone[[#This Row],[Time Zone]] &amp; ")"</f>
        <v>+07:00 - Christmas Island (Indian/Christmas)</v>
      </c>
    </row>
    <row r="126" spans="1:5" x14ac:dyDescent="0.2">
      <c r="A126" s="4" t="s">
        <v>285</v>
      </c>
      <c r="B126" s="4" t="s">
        <v>286</v>
      </c>
      <c r="C126" s="4" t="s">
        <v>287</v>
      </c>
      <c r="D126" s="4" t="s">
        <v>288</v>
      </c>
      <c r="E126" s="4" t="str">
        <f>MID(Timezone[[#This Row],[GMT Offset]], 5, 6) &amp; " - " &amp; Timezone[[#This Row],[Country Name]] &amp; " (" &amp;Timezone[[#This Row],[Time Zone]] &amp; ")"</f>
        <v>+06:30 - Cocos Islands (Indian/Cocos)</v>
      </c>
    </row>
    <row r="127" spans="1:5" x14ac:dyDescent="0.2">
      <c r="A127" s="4" t="s">
        <v>289</v>
      </c>
      <c r="B127" s="4" t="s">
        <v>290</v>
      </c>
      <c r="C127" s="4" t="s">
        <v>291</v>
      </c>
      <c r="D127" s="4" t="s">
        <v>192</v>
      </c>
      <c r="E127" s="4" t="str">
        <f>MID(Timezone[[#This Row],[GMT Offset]], 5, 6) &amp; " - " &amp; Timezone[[#This Row],[Country Name]] &amp; " (" &amp;Timezone[[#This Row],[Time Zone]] &amp; ")"</f>
        <v>-05:00 - Colombia (America/Bogota)</v>
      </c>
    </row>
    <row r="128" spans="1:5" x14ac:dyDescent="0.2">
      <c r="A128" s="4" t="s">
        <v>292</v>
      </c>
      <c r="B128" s="4" t="s">
        <v>293</v>
      </c>
      <c r="C128" s="4" t="s">
        <v>294</v>
      </c>
      <c r="D128" s="4" t="s">
        <v>50</v>
      </c>
      <c r="E128" s="4" t="str">
        <f>MID(Timezone[[#This Row],[GMT Offset]], 5, 6) &amp; " - " &amp; Timezone[[#This Row],[Country Name]] &amp; " (" &amp;Timezone[[#This Row],[Time Zone]] &amp; ")"</f>
        <v>+03:00 - Comoros (Indian/Comoro)</v>
      </c>
    </row>
    <row r="129" spans="1:5" x14ac:dyDescent="0.2">
      <c r="A129" s="4" t="s">
        <v>295</v>
      </c>
      <c r="B129" s="4" t="s">
        <v>296</v>
      </c>
      <c r="C129" s="4" t="s">
        <v>297</v>
      </c>
      <c r="D129" s="4" t="s">
        <v>298</v>
      </c>
      <c r="E129" s="4" t="str">
        <f>MID(Timezone[[#This Row],[GMT Offset]], 5, 6) &amp; " - " &amp; Timezone[[#This Row],[Country Name]] &amp; " (" &amp;Timezone[[#This Row],[Time Zone]] &amp; ")"</f>
        <v>-10:00 - Cook Islands (Pacific/Rarotonga)</v>
      </c>
    </row>
    <row r="130" spans="1:5" x14ac:dyDescent="0.2">
      <c r="A130" s="4" t="s">
        <v>299</v>
      </c>
      <c r="B130" s="4" t="s">
        <v>300</v>
      </c>
      <c r="C130" s="4" t="s">
        <v>301</v>
      </c>
      <c r="D130" s="4" t="s">
        <v>161</v>
      </c>
      <c r="E130" s="4" t="str">
        <f>MID(Timezone[[#This Row],[GMT Offset]], 5, 6) &amp; " - " &amp; Timezone[[#This Row],[Country Name]] &amp; " (" &amp;Timezone[[#This Row],[Time Zone]] &amp; ")"</f>
        <v>-06:00 - Costa Rica (America/Costa_Rica)</v>
      </c>
    </row>
    <row r="131" spans="1:5" x14ac:dyDescent="0.2">
      <c r="A131" s="4" t="s">
        <v>302</v>
      </c>
      <c r="B131" s="4" t="s">
        <v>303</v>
      </c>
      <c r="C131" s="4" t="s">
        <v>304</v>
      </c>
      <c r="D131" s="4" t="s">
        <v>54</v>
      </c>
      <c r="E131" s="4" t="str">
        <f>MID(Timezone[[#This Row],[GMT Offset]], 5, 6) &amp; " - " &amp; Timezone[[#This Row],[Country Name]] &amp; " (" &amp;Timezone[[#This Row],[Time Zone]] &amp; ")"</f>
        <v>+02:00 - Croatia (Europe/Zagreb)</v>
      </c>
    </row>
    <row r="132" spans="1:5" x14ac:dyDescent="0.2">
      <c r="A132" s="4" t="s">
        <v>305</v>
      </c>
      <c r="B132" s="4" t="s">
        <v>306</v>
      </c>
      <c r="C132" s="4" t="s">
        <v>307</v>
      </c>
      <c r="D132" s="4" t="s">
        <v>72</v>
      </c>
      <c r="E132" s="4" t="str">
        <f>MID(Timezone[[#This Row],[GMT Offset]], 5, 6) &amp; " - " &amp; Timezone[[#This Row],[Country Name]] &amp; " (" &amp;Timezone[[#This Row],[Time Zone]] &amp; ")"</f>
        <v>-04:00 - Cuba (America/Havana)</v>
      </c>
    </row>
    <row r="133" spans="1:5" x14ac:dyDescent="0.2">
      <c r="A133" s="4" t="s">
        <v>308</v>
      </c>
      <c r="B133" s="4" t="s">
        <v>309</v>
      </c>
      <c r="C133" s="4" t="s">
        <v>310</v>
      </c>
      <c r="D133" s="4" t="s">
        <v>72</v>
      </c>
      <c r="E133" s="4" t="str">
        <f>MID(Timezone[[#This Row],[GMT Offset]], 5, 6) &amp; " - " &amp; Timezone[[#This Row],[Country Name]] &amp; " (" &amp;Timezone[[#This Row],[Time Zone]] &amp; ")"</f>
        <v>-04:00 - Curaçao (America/Curacao)</v>
      </c>
    </row>
    <row r="134" spans="1:5" x14ac:dyDescent="0.2">
      <c r="A134" s="4" t="s">
        <v>311</v>
      </c>
      <c r="B134" s="4" t="s">
        <v>312</v>
      </c>
      <c r="C134" s="4" t="s">
        <v>313</v>
      </c>
      <c r="D134" s="4" t="s">
        <v>50</v>
      </c>
      <c r="E134" s="4" t="str">
        <f>MID(Timezone[[#This Row],[GMT Offset]], 5, 6) &amp; " - " &amp; Timezone[[#This Row],[Country Name]] &amp; " (" &amp;Timezone[[#This Row],[Time Zone]] &amp; ")"</f>
        <v>+03:00 - Cyprus (Asia/Famagusta)</v>
      </c>
    </row>
    <row r="135" spans="1:5" x14ac:dyDescent="0.2">
      <c r="A135" s="4" t="s">
        <v>311</v>
      </c>
      <c r="B135" s="4" t="s">
        <v>312</v>
      </c>
      <c r="C135" s="4" t="s">
        <v>314</v>
      </c>
      <c r="D135" s="4" t="s">
        <v>50</v>
      </c>
      <c r="E135" s="4" t="str">
        <f>MID(Timezone[[#This Row],[GMT Offset]], 5, 6) &amp; " - " &amp; Timezone[[#This Row],[Country Name]] &amp; " (" &amp;Timezone[[#This Row],[Time Zone]] &amp; ")"</f>
        <v>+03:00 - Cyprus (Asia/Nicosia)</v>
      </c>
    </row>
    <row r="136" spans="1:5" x14ac:dyDescent="0.2">
      <c r="A136" s="4" t="s">
        <v>315</v>
      </c>
      <c r="B136" s="4" t="s">
        <v>316</v>
      </c>
      <c r="C136" s="4" t="s">
        <v>317</v>
      </c>
      <c r="D136" s="4" t="s">
        <v>54</v>
      </c>
      <c r="E136" s="4" t="str">
        <f>MID(Timezone[[#This Row],[GMT Offset]], 5, 6) &amp; " - " &amp; Timezone[[#This Row],[Country Name]] &amp; " (" &amp;Timezone[[#This Row],[Time Zone]] &amp; ")"</f>
        <v>+02:00 - Czech Republic (Europe/Prague)</v>
      </c>
    </row>
    <row r="137" spans="1:5" x14ac:dyDescent="0.2">
      <c r="A137" s="4" t="s">
        <v>318</v>
      </c>
      <c r="B137" s="4" t="s">
        <v>319</v>
      </c>
      <c r="C137" s="4" t="s">
        <v>320</v>
      </c>
      <c r="D137" s="4" t="s">
        <v>58</v>
      </c>
      <c r="E137" s="4" t="str">
        <f>MID(Timezone[[#This Row],[GMT Offset]], 5, 6) &amp; " - " &amp; Timezone[[#This Row],[Country Name]] &amp; " (" &amp;Timezone[[#This Row],[Time Zone]] &amp; ")"</f>
        <v>+01:00 - Democratic Republic of the Congo (Africa/Kinshasa)</v>
      </c>
    </row>
    <row r="138" spans="1:5" x14ac:dyDescent="0.2">
      <c r="A138" s="4" t="s">
        <v>318</v>
      </c>
      <c r="B138" s="4" t="s">
        <v>319</v>
      </c>
      <c r="C138" s="4" t="s">
        <v>321</v>
      </c>
      <c r="D138" s="4" t="s">
        <v>54</v>
      </c>
      <c r="E138" s="4" t="str">
        <f>MID(Timezone[[#This Row],[GMT Offset]], 5, 6) &amp; " - " &amp; Timezone[[#This Row],[Country Name]] &amp; " (" &amp;Timezone[[#This Row],[Time Zone]] &amp; ")"</f>
        <v>+02:00 - Democratic Republic of the Congo (Africa/Lubumbashi)</v>
      </c>
    </row>
    <row r="139" spans="1:5" x14ac:dyDescent="0.2">
      <c r="A139" s="4" t="s">
        <v>322</v>
      </c>
      <c r="B139" s="4" t="s">
        <v>323</v>
      </c>
      <c r="C139" s="4" t="s">
        <v>324</v>
      </c>
      <c r="D139" s="4" t="s">
        <v>54</v>
      </c>
      <c r="E139" s="4" t="str">
        <f>MID(Timezone[[#This Row],[GMT Offset]], 5, 6) &amp; " - " &amp; Timezone[[#This Row],[Country Name]] &amp; " (" &amp;Timezone[[#This Row],[Time Zone]] &amp; ")"</f>
        <v>+02:00 - Denmark (Europe/Copenhagen)</v>
      </c>
    </row>
    <row r="140" spans="1:5" x14ac:dyDescent="0.2">
      <c r="A140" s="4" t="s">
        <v>325</v>
      </c>
      <c r="B140" s="4" t="s">
        <v>326</v>
      </c>
      <c r="C140" s="4" t="s">
        <v>327</v>
      </c>
      <c r="D140" s="4" t="s">
        <v>50</v>
      </c>
      <c r="E140" s="4" t="str">
        <f>MID(Timezone[[#This Row],[GMT Offset]], 5, 6) &amp; " - " &amp; Timezone[[#This Row],[Country Name]] &amp; " (" &amp;Timezone[[#This Row],[Time Zone]] &amp; ")"</f>
        <v>+03:00 - Djibouti (Africa/Djibouti)</v>
      </c>
    </row>
    <row r="141" spans="1:5" x14ac:dyDescent="0.2">
      <c r="A141" s="4" t="s">
        <v>328</v>
      </c>
      <c r="B141" s="4" t="s">
        <v>329</v>
      </c>
      <c r="C141" s="4" t="s">
        <v>330</v>
      </c>
      <c r="D141" s="4" t="s">
        <v>72</v>
      </c>
      <c r="E141" s="4" t="str">
        <f>MID(Timezone[[#This Row],[GMT Offset]], 5, 6) &amp; " - " &amp; Timezone[[#This Row],[Country Name]] &amp; " (" &amp;Timezone[[#This Row],[Time Zone]] &amp; ")"</f>
        <v>-04:00 - Dominica (America/Dominica)</v>
      </c>
    </row>
    <row r="142" spans="1:5" x14ac:dyDescent="0.2">
      <c r="A142" s="4" t="s">
        <v>331</v>
      </c>
      <c r="B142" s="4" t="s">
        <v>332</v>
      </c>
      <c r="C142" s="4" t="s">
        <v>333</v>
      </c>
      <c r="D142" s="4" t="s">
        <v>72</v>
      </c>
      <c r="E142" s="4" t="str">
        <f>MID(Timezone[[#This Row],[GMT Offset]], 5, 6) &amp; " - " &amp; Timezone[[#This Row],[Country Name]] &amp; " (" &amp;Timezone[[#This Row],[Time Zone]] &amp; ")"</f>
        <v>-04:00 - Dominican Republic (America/Santo_Domingo)</v>
      </c>
    </row>
    <row r="143" spans="1:5" x14ac:dyDescent="0.2">
      <c r="A143" s="4" t="s">
        <v>334</v>
      </c>
      <c r="B143" s="4" t="s">
        <v>335</v>
      </c>
      <c r="C143" s="4" t="s">
        <v>336</v>
      </c>
      <c r="D143" s="4" t="s">
        <v>337</v>
      </c>
      <c r="E143" s="4" t="str">
        <f>MID(Timezone[[#This Row],[GMT Offset]], 5, 6) &amp; " - " &amp; Timezone[[#This Row],[Country Name]] &amp; " (" &amp;Timezone[[#This Row],[Time Zone]] &amp; ")"</f>
        <v>+09:00 - East Timor (Asia/Dili)</v>
      </c>
    </row>
    <row r="144" spans="1:5" x14ac:dyDescent="0.2">
      <c r="A144" s="4" t="s">
        <v>338</v>
      </c>
      <c r="B144" s="4" t="s">
        <v>339</v>
      </c>
      <c r="C144" s="4" t="s">
        <v>340</v>
      </c>
      <c r="D144" s="4" t="s">
        <v>192</v>
      </c>
      <c r="E144" s="4" t="str">
        <f>MID(Timezone[[#This Row],[GMT Offset]], 5, 6) &amp; " - " &amp; Timezone[[#This Row],[Country Name]] &amp; " (" &amp;Timezone[[#This Row],[Time Zone]] &amp; ")"</f>
        <v>-05:00 - Ecuador (America/Guayaquil)</v>
      </c>
    </row>
    <row r="145" spans="1:5" x14ac:dyDescent="0.2">
      <c r="A145" s="4" t="s">
        <v>338</v>
      </c>
      <c r="B145" s="4" t="s">
        <v>339</v>
      </c>
      <c r="C145" s="4" t="s">
        <v>341</v>
      </c>
      <c r="D145" s="4" t="s">
        <v>161</v>
      </c>
      <c r="E145" s="4" t="str">
        <f>MID(Timezone[[#This Row],[GMT Offset]], 5, 6) &amp; " - " &amp; Timezone[[#This Row],[Country Name]] &amp; " (" &amp;Timezone[[#This Row],[Time Zone]] &amp; ")"</f>
        <v>-06:00 - Ecuador (Pacific/Galapagos)</v>
      </c>
    </row>
    <row r="146" spans="1:5" x14ac:dyDescent="0.2">
      <c r="A146" s="4" t="s">
        <v>342</v>
      </c>
      <c r="B146" s="4" t="s">
        <v>343</v>
      </c>
      <c r="C146" s="4" t="s">
        <v>344</v>
      </c>
      <c r="D146" s="4" t="s">
        <v>54</v>
      </c>
      <c r="E146" s="4" t="str">
        <f>MID(Timezone[[#This Row],[GMT Offset]], 5, 6) &amp; " - " &amp; Timezone[[#This Row],[Country Name]] &amp; " (" &amp;Timezone[[#This Row],[Time Zone]] &amp; ")"</f>
        <v>+02:00 - Egypt (Africa/Cairo)</v>
      </c>
    </row>
    <row r="147" spans="1:5" x14ac:dyDescent="0.2">
      <c r="A147" s="4" t="s">
        <v>345</v>
      </c>
      <c r="B147" s="4" t="s">
        <v>346</v>
      </c>
      <c r="C147" s="4" t="s">
        <v>347</v>
      </c>
      <c r="D147" s="4" t="s">
        <v>161</v>
      </c>
      <c r="E147" s="4" t="str">
        <f>MID(Timezone[[#This Row],[GMT Offset]], 5, 6) &amp; " - " &amp; Timezone[[#This Row],[Country Name]] &amp; " (" &amp;Timezone[[#This Row],[Time Zone]] &amp; ")"</f>
        <v>-06:00 - El Salvador (America/El_Salvador)</v>
      </c>
    </row>
    <row r="148" spans="1:5" x14ac:dyDescent="0.2">
      <c r="A148" s="4" t="s">
        <v>348</v>
      </c>
      <c r="B148" s="4" t="s">
        <v>349</v>
      </c>
      <c r="C148" s="4" t="s">
        <v>350</v>
      </c>
      <c r="D148" s="4" t="s">
        <v>58</v>
      </c>
      <c r="E148" s="4" t="str">
        <f>MID(Timezone[[#This Row],[GMT Offset]], 5, 6) &amp; " - " &amp; Timezone[[#This Row],[Country Name]] &amp; " (" &amp;Timezone[[#This Row],[Time Zone]] &amp; ")"</f>
        <v>+01:00 - Equatorial Guinea (Africa/Malabo)</v>
      </c>
    </row>
    <row r="149" spans="1:5" x14ac:dyDescent="0.2">
      <c r="A149" s="4" t="s">
        <v>351</v>
      </c>
      <c r="B149" s="4" t="s">
        <v>352</v>
      </c>
      <c r="C149" s="4" t="s">
        <v>353</v>
      </c>
      <c r="D149" s="4" t="s">
        <v>50</v>
      </c>
      <c r="E149" s="4" t="str">
        <f>MID(Timezone[[#This Row],[GMT Offset]], 5, 6) &amp; " - " &amp; Timezone[[#This Row],[Country Name]] &amp; " (" &amp;Timezone[[#This Row],[Time Zone]] &amp; ")"</f>
        <v>+03:00 - Eritrea (Africa/Asmara)</v>
      </c>
    </row>
    <row r="150" spans="1:5" x14ac:dyDescent="0.2">
      <c r="A150" s="4" t="s">
        <v>354</v>
      </c>
      <c r="B150" s="4" t="s">
        <v>355</v>
      </c>
      <c r="C150" s="4" t="s">
        <v>356</v>
      </c>
      <c r="D150" s="4" t="s">
        <v>50</v>
      </c>
      <c r="E150" s="4" t="str">
        <f>MID(Timezone[[#This Row],[GMT Offset]], 5, 6) &amp; " - " &amp; Timezone[[#This Row],[Country Name]] &amp; " (" &amp;Timezone[[#This Row],[Time Zone]] &amp; ")"</f>
        <v>+03:00 - Estonia (Europe/Tallinn)</v>
      </c>
    </row>
    <row r="151" spans="1:5" x14ac:dyDescent="0.2">
      <c r="A151" s="4" t="s">
        <v>357</v>
      </c>
      <c r="B151" s="4" t="s">
        <v>358</v>
      </c>
      <c r="C151" s="4" t="s">
        <v>359</v>
      </c>
      <c r="D151" s="4" t="s">
        <v>50</v>
      </c>
      <c r="E151" s="4" t="str">
        <f>MID(Timezone[[#This Row],[GMT Offset]], 5, 6) &amp; " - " &amp; Timezone[[#This Row],[Country Name]] &amp; " (" &amp;Timezone[[#This Row],[Time Zone]] &amp; ")"</f>
        <v>+03:00 - Ethiopia (Africa/Addis_Ababa)</v>
      </c>
    </row>
    <row r="152" spans="1:5" x14ac:dyDescent="0.2">
      <c r="A152" s="4" t="s">
        <v>360</v>
      </c>
      <c r="B152" s="4" t="s">
        <v>361</v>
      </c>
      <c r="C152" s="4" t="s">
        <v>362</v>
      </c>
      <c r="D152" s="4" t="s">
        <v>86</v>
      </c>
      <c r="E152" s="4" t="str">
        <f>MID(Timezone[[#This Row],[GMT Offset]], 5, 6) &amp; " - " &amp; Timezone[[#This Row],[Country Name]] &amp; " (" &amp;Timezone[[#This Row],[Time Zone]] &amp; ")"</f>
        <v>-03:00 - Falkland Islands (Atlantic/Stanley)</v>
      </c>
    </row>
    <row r="153" spans="1:5" x14ac:dyDescent="0.2">
      <c r="A153" s="4" t="s">
        <v>363</v>
      </c>
      <c r="B153" s="4" t="s">
        <v>364</v>
      </c>
      <c r="C153" s="4" t="s">
        <v>365</v>
      </c>
      <c r="D153" s="4" t="s">
        <v>58</v>
      </c>
      <c r="E153" s="4" t="str">
        <f>MID(Timezone[[#This Row],[GMT Offset]], 5, 6) &amp; " - " &amp; Timezone[[#This Row],[Country Name]] &amp; " (" &amp;Timezone[[#This Row],[Time Zone]] &amp; ")"</f>
        <v>+01:00 - Faroe Islands (Atlantic/Faroe)</v>
      </c>
    </row>
    <row r="154" spans="1:5" x14ac:dyDescent="0.2">
      <c r="A154" s="4" t="s">
        <v>366</v>
      </c>
      <c r="B154" s="4" t="s">
        <v>367</v>
      </c>
      <c r="C154" s="4" t="s">
        <v>368</v>
      </c>
      <c r="D154" s="4" t="s">
        <v>84</v>
      </c>
      <c r="E154" s="4" t="str">
        <f>MID(Timezone[[#This Row],[GMT Offset]], 5, 6) &amp; " - " &amp; Timezone[[#This Row],[Country Name]] &amp; " (" &amp;Timezone[[#This Row],[Time Zone]] &amp; ")"</f>
        <v>+12:00 - Fiji (Pacific/Fiji)</v>
      </c>
    </row>
    <row r="155" spans="1:5" x14ac:dyDescent="0.2">
      <c r="A155" s="4" t="s">
        <v>369</v>
      </c>
      <c r="B155" s="4" t="s">
        <v>370</v>
      </c>
      <c r="C155" s="4" t="s">
        <v>371</v>
      </c>
      <c r="D155" s="4" t="s">
        <v>50</v>
      </c>
      <c r="E155" s="4" t="str">
        <f>MID(Timezone[[#This Row],[GMT Offset]], 5, 6) &amp; " - " &amp; Timezone[[#This Row],[Country Name]] &amp; " (" &amp;Timezone[[#This Row],[Time Zone]] &amp; ")"</f>
        <v>+03:00 - Finland (Europe/Helsinki)</v>
      </c>
    </row>
    <row r="156" spans="1:5" x14ac:dyDescent="0.2">
      <c r="A156" s="4" t="s">
        <v>372</v>
      </c>
      <c r="B156" s="4" t="s">
        <v>373</v>
      </c>
      <c r="C156" s="4" t="s">
        <v>374</v>
      </c>
      <c r="D156" s="4" t="s">
        <v>54</v>
      </c>
      <c r="E156" s="4" t="str">
        <f>MID(Timezone[[#This Row],[GMT Offset]], 5, 6) &amp; " - " &amp; Timezone[[#This Row],[Country Name]] &amp; " (" &amp;Timezone[[#This Row],[Time Zone]] &amp; ")"</f>
        <v>+02:00 - France (Europe/Paris)</v>
      </c>
    </row>
    <row r="157" spans="1:5" x14ac:dyDescent="0.2">
      <c r="A157" s="4" t="s">
        <v>375</v>
      </c>
      <c r="B157" s="4" t="s">
        <v>376</v>
      </c>
      <c r="C157" s="4" t="s">
        <v>377</v>
      </c>
      <c r="D157" s="4" t="s">
        <v>86</v>
      </c>
      <c r="E157" s="4" t="str">
        <f>MID(Timezone[[#This Row],[GMT Offset]], 5, 6) &amp; " - " &amp; Timezone[[#This Row],[Country Name]] &amp; " (" &amp;Timezone[[#This Row],[Time Zone]] &amp; ")"</f>
        <v>-03:00 - French Guiana (America/Cayenne)</v>
      </c>
    </row>
    <row r="158" spans="1:5" x14ac:dyDescent="0.2">
      <c r="A158" s="4" t="s">
        <v>378</v>
      </c>
      <c r="B158" s="4" t="s">
        <v>379</v>
      </c>
      <c r="C158" s="4" t="s">
        <v>380</v>
      </c>
      <c r="D158" s="4" t="s">
        <v>381</v>
      </c>
      <c r="E158" s="4" t="str">
        <f>MID(Timezone[[#This Row],[GMT Offset]], 5, 6) &amp; " - " &amp; Timezone[[#This Row],[Country Name]] &amp; " (" &amp;Timezone[[#This Row],[Time Zone]] &amp; ")"</f>
        <v>-09:00 - French Polynesia (Pacific/Gambier)</v>
      </c>
    </row>
    <row r="159" spans="1:5" x14ac:dyDescent="0.2">
      <c r="A159" s="4" t="s">
        <v>378</v>
      </c>
      <c r="B159" s="4" t="s">
        <v>379</v>
      </c>
      <c r="C159" s="4" t="s">
        <v>382</v>
      </c>
      <c r="D159" s="4" t="s">
        <v>383</v>
      </c>
      <c r="E159" s="4" t="str">
        <f>MID(Timezone[[#This Row],[GMT Offset]], 5, 6) &amp; " - " &amp; Timezone[[#This Row],[Country Name]] &amp; " (" &amp;Timezone[[#This Row],[Time Zone]] &amp; ")"</f>
        <v>-09:30 - French Polynesia (Pacific/Marquesas)</v>
      </c>
    </row>
    <row r="160" spans="1:5" x14ac:dyDescent="0.2">
      <c r="A160" s="4" t="s">
        <v>378</v>
      </c>
      <c r="B160" s="4" t="s">
        <v>379</v>
      </c>
      <c r="C160" s="4" t="s">
        <v>384</v>
      </c>
      <c r="D160" s="4" t="s">
        <v>298</v>
      </c>
      <c r="E160" s="4" t="str">
        <f>MID(Timezone[[#This Row],[GMT Offset]], 5, 6) &amp; " - " &amp; Timezone[[#This Row],[Country Name]] &amp; " (" &amp;Timezone[[#This Row],[Time Zone]] &amp; ")"</f>
        <v>-10:00 - French Polynesia (Pacific/Tahiti)</v>
      </c>
    </row>
    <row r="161" spans="1:5" x14ac:dyDescent="0.2">
      <c r="A161" s="4" t="s">
        <v>385</v>
      </c>
      <c r="B161" s="4" t="s">
        <v>386</v>
      </c>
      <c r="C161" s="4" t="s">
        <v>387</v>
      </c>
      <c r="D161" s="4" t="s">
        <v>82</v>
      </c>
      <c r="E161" s="4" t="str">
        <f>MID(Timezone[[#This Row],[GMT Offset]], 5, 6) &amp; " - " &amp; Timezone[[#This Row],[Country Name]] &amp; " (" &amp;Timezone[[#This Row],[Time Zone]] &amp; ")"</f>
        <v>+05:00 - French Southern Territories (Indian/Kerguelen)</v>
      </c>
    </row>
    <row r="162" spans="1:5" x14ac:dyDescent="0.2">
      <c r="A162" s="4" t="s">
        <v>388</v>
      </c>
      <c r="B162" s="4" t="s">
        <v>389</v>
      </c>
      <c r="C162" s="4" t="s">
        <v>390</v>
      </c>
      <c r="D162" s="4" t="s">
        <v>58</v>
      </c>
      <c r="E162" s="4" t="str">
        <f>MID(Timezone[[#This Row],[GMT Offset]], 5, 6) &amp; " - " &amp; Timezone[[#This Row],[Country Name]] &amp; " (" &amp;Timezone[[#This Row],[Time Zone]] &amp; ")"</f>
        <v>+01:00 - Gabon (Africa/Libreville)</v>
      </c>
    </row>
    <row r="163" spans="1:5" x14ac:dyDescent="0.2">
      <c r="A163" s="4" t="s">
        <v>391</v>
      </c>
      <c r="B163" s="4" t="s">
        <v>392</v>
      </c>
      <c r="C163" s="4" t="s">
        <v>393</v>
      </c>
      <c r="D163" s="4" t="s">
        <v>995</v>
      </c>
      <c r="E163" s="4" t="str">
        <f>MID(Timezone[[#This Row],[GMT Offset]], 5, 6) &amp; " - " &amp; Timezone[[#This Row],[Country Name]] &amp; " (" &amp;Timezone[[#This Row],[Time Zone]] &amp; ")"</f>
        <v>+00:00 - Gambia (Africa/Banjul)</v>
      </c>
    </row>
    <row r="164" spans="1:5" x14ac:dyDescent="0.2">
      <c r="A164" s="4" t="s">
        <v>394</v>
      </c>
      <c r="B164" s="4" t="s">
        <v>395</v>
      </c>
      <c r="C164" s="4" t="s">
        <v>396</v>
      </c>
      <c r="D164" s="4" t="s">
        <v>112</v>
      </c>
      <c r="E164" s="4" t="str">
        <f>MID(Timezone[[#This Row],[GMT Offset]], 5, 6) &amp; " - " &amp; Timezone[[#This Row],[Country Name]] &amp; " (" &amp;Timezone[[#This Row],[Time Zone]] &amp; ")"</f>
        <v>+04:00 - Georgia (Asia/Tbilisi)</v>
      </c>
    </row>
    <row r="165" spans="1:5" x14ac:dyDescent="0.2">
      <c r="A165" s="4" t="s">
        <v>397</v>
      </c>
      <c r="B165" s="4" t="s">
        <v>398</v>
      </c>
      <c r="C165" s="4" t="s">
        <v>399</v>
      </c>
      <c r="D165" s="4" t="s">
        <v>54</v>
      </c>
      <c r="E165" s="4" t="str">
        <f>MID(Timezone[[#This Row],[GMT Offset]], 5, 6) &amp; " - " &amp; Timezone[[#This Row],[Country Name]] &amp; " (" &amp;Timezone[[#This Row],[Time Zone]] &amp; ")"</f>
        <v>+02:00 - Germany (Europe/Berlin)</v>
      </c>
    </row>
    <row r="166" spans="1:5" x14ac:dyDescent="0.2">
      <c r="A166" s="4" t="s">
        <v>397</v>
      </c>
      <c r="B166" s="4" t="s">
        <v>398</v>
      </c>
      <c r="C166" s="4" t="s">
        <v>400</v>
      </c>
      <c r="D166" s="4" t="s">
        <v>54</v>
      </c>
      <c r="E166" s="4" t="str">
        <f>MID(Timezone[[#This Row],[GMT Offset]], 5, 6) &amp; " - " &amp; Timezone[[#This Row],[Country Name]] &amp; " (" &amp;Timezone[[#This Row],[Time Zone]] &amp; ")"</f>
        <v>+02:00 - Germany (Europe/Busingen)</v>
      </c>
    </row>
    <row r="167" spans="1:5" x14ac:dyDescent="0.2">
      <c r="A167" s="4" t="s">
        <v>401</v>
      </c>
      <c r="B167" s="4" t="s">
        <v>402</v>
      </c>
      <c r="C167" s="4" t="s">
        <v>403</v>
      </c>
      <c r="D167" s="4" t="s">
        <v>995</v>
      </c>
      <c r="E167" s="4" t="str">
        <f>MID(Timezone[[#This Row],[GMT Offset]], 5, 6) &amp; " - " &amp; Timezone[[#This Row],[Country Name]] &amp; " (" &amp;Timezone[[#This Row],[Time Zone]] &amp; ")"</f>
        <v>+00:00 - Ghana (Africa/Accra)</v>
      </c>
    </row>
    <row r="168" spans="1:5" x14ac:dyDescent="0.2">
      <c r="A168" s="4" t="s">
        <v>404</v>
      </c>
      <c r="B168" s="4" t="s">
        <v>405</v>
      </c>
      <c r="C168" s="4" t="s">
        <v>406</v>
      </c>
      <c r="D168" s="4" t="s">
        <v>54</v>
      </c>
      <c r="E168" s="4" t="str">
        <f>MID(Timezone[[#This Row],[GMT Offset]], 5, 6) &amp; " - " &amp; Timezone[[#This Row],[Country Name]] &amp; " (" &amp;Timezone[[#This Row],[Time Zone]] &amp; ")"</f>
        <v>+02:00 - Gibraltar (Europe/Gibraltar)</v>
      </c>
    </row>
    <row r="169" spans="1:5" x14ac:dyDescent="0.2">
      <c r="A169" s="4" t="s">
        <v>407</v>
      </c>
      <c r="B169" s="4" t="s">
        <v>408</v>
      </c>
      <c r="C169" s="4" t="s">
        <v>409</v>
      </c>
      <c r="D169" s="4" t="s">
        <v>50</v>
      </c>
      <c r="E169" s="4" t="str">
        <f>MID(Timezone[[#This Row],[GMT Offset]], 5, 6) &amp; " - " &amp; Timezone[[#This Row],[Country Name]] &amp; " (" &amp;Timezone[[#This Row],[Time Zone]] &amp; ")"</f>
        <v>+03:00 - Greece (Europe/Athens)</v>
      </c>
    </row>
    <row r="170" spans="1:5" x14ac:dyDescent="0.2">
      <c r="A170" s="4" t="s">
        <v>410</v>
      </c>
      <c r="B170" s="4" t="s">
        <v>411</v>
      </c>
      <c r="C170" s="4" t="s">
        <v>412</v>
      </c>
      <c r="D170" s="4" t="s">
        <v>995</v>
      </c>
      <c r="E170" s="4" t="str">
        <f>MID(Timezone[[#This Row],[GMT Offset]], 5, 6) &amp; " - " &amp; Timezone[[#This Row],[Country Name]] &amp; " (" &amp;Timezone[[#This Row],[Time Zone]] &amp; ")"</f>
        <v>+00:00 - Greenland (America/Danmarkshavn)</v>
      </c>
    </row>
    <row r="171" spans="1:5" x14ac:dyDescent="0.2">
      <c r="A171" s="4" t="s">
        <v>410</v>
      </c>
      <c r="B171" s="4" t="s">
        <v>411</v>
      </c>
      <c r="C171" s="4" t="s">
        <v>413</v>
      </c>
      <c r="D171" s="4" t="s">
        <v>197</v>
      </c>
      <c r="E171" s="4" t="str">
        <f>MID(Timezone[[#This Row],[GMT Offset]], 5, 6) &amp; " - " &amp; Timezone[[#This Row],[Country Name]] &amp; " (" &amp;Timezone[[#This Row],[Time Zone]] &amp; ")"</f>
        <v>-02:00 - Greenland (America/Godthab)</v>
      </c>
    </row>
    <row r="172" spans="1:5" x14ac:dyDescent="0.2">
      <c r="A172" s="4" t="s">
        <v>410</v>
      </c>
      <c r="B172" s="4" t="s">
        <v>411</v>
      </c>
      <c r="C172" s="4" t="s">
        <v>414</v>
      </c>
      <c r="D172" s="4" t="s">
        <v>995</v>
      </c>
      <c r="E172" s="4" t="str">
        <f>MID(Timezone[[#This Row],[GMT Offset]], 5, 6) &amp; " - " &amp; Timezone[[#This Row],[Country Name]] &amp; " (" &amp;Timezone[[#This Row],[Time Zone]] &amp; ")"</f>
        <v>+00:00 - Greenland (America/Scoresbysund)</v>
      </c>
    </row>
    <row r="173" spans="1:5" x14ac:dyDescent="0.2">
      <c r="A173" s="4" t="s">
        <v>410</v>
      </c>
      <c r="B173" s="4" t="s">
        <v>411</v>
      </c>
      <c r="C173" s="4" t="s">
        <v>415</v>
      </c>
      <c r="D173" s="4" t="s">
        <v>86</v>
      </c>
      <c r="E173" s="4" t="str">
        <f>MID(Timezone[[#This Row],[GMT Offset]], 5, 6) &amp; " - " &amp; Timezone[[#This Row],[Country Name]] &amp; " (" &amp;Timezone[[#This Row],[Time Zone]] &amp; ")"</f>
        <v>-03:00 - Greenland (America/Thule)</v>
      </c>
    </row>
    <row r="174" spans="1:5" x14ac:dyDescent="0.2">
      <c r="A174" s="4" t="s">
        <v>416</v>
      </c>
      <c r="B174" s="4" t="s">
        <v>417</v>
      </c>
      <c r="C174" s="4" t="s">
        <v>418</v>
      </c>
      <c r="D174" s="4" t="s">
        <v>72</v>
      </c>
      <c r="E174" s="4" t="str">
        <f>MID(Timezone[[#This Row],[GMT Offset]], 5, 6) &amp; " - " &amp; Timezone[[#This Row],[Country Name]] &amp; " (" &amp;Timezone[[#This Row],[Time Zone]] &amp; ")"</f>
        <v>-04:00 - Grenada (America/Grenada)</v>
      </c>
    </row>
    <row r="175" spans="1:5" x14ac:dyDescent="0.2">
      <c r="A175" s="4" t="s">
        <v>419</v>
      </c>
      <c r="B175" s="4" t="s">
        <v>420</v>
      </c>
      <c r="C175" s="4" t="s">
        <v>421</v>
      </c>
      <c r="D175" s="4" t="s">
        <v>72</v>
      </c>
      <c r="E175" s="4" t="str">
        <f>MID(Timezone[[#This Row],[GMT Offset]], 5, 6) &amp; " - " &amp; Timezone[[#This Row],[Country Name]] &amp; " (" &amp;Timezone[[#This Row],[Time Zone]] &amp; ")"</f>
        <v>-04:00 - Guadeloupe (America/Guadeloupe)</v>
      </c>
    </row>
    <row r="176" spans="1:5" x14ac:dyDescent="0.2">
      <c r="A176" s="4" t="s">
        <v>422</v>
      </c>
      <c r="B176" s="4" t="s">
        <v>423</v>
      </c>
      <c r="C176" s="4" t="s">
        <v>424</v>
      </c>
      <c r="D176" s="4" t="s">
        <v>80</v>
      </c>
      <c r="E176" s="4" t="str">
        <f>MID(Timezone[[#This Row],[GMT Offset]], 5, 6) &amp; " - " &amp; Timezone[[#This Row],[Country Name]] &amp; " (" &amp;Timezone[[#This Row],[Time Zone]] &amp; ")"</f>
        <v>+10:00 - Guam (Pacific/Guam)</v>
      </c>
    </row>
    <row r="177" spans="1:5" x14ac:dyDescent="0.2">
      <c r="A177" s="4" t="s">
        <v>425</v>
      </c>
      <c r="B177" s="4" t="s">
        <v>426</v>
      </c>
      <c r="C177" s="4" t="s">
        <v>427</v>
      </c>
      <c r="D177" s="4" t="s">
        <v>161</v>
      </c>
      <c r="E177" s="4" t="str">
        <f>MID(Timezone[[#This Row],[GMT Offset]], 5, 6) &amp; " - " &amp; Timezone[[#This Row],[Country Name]] &amp; " (" &amp;Timezone[[#This Row],[Time Zone]] &amp; ")"</f>
        <v>-06:00 - Guatemala (America/Guatemala)</v>
      </c>
    </row>
    <row r="178" spans="1:5" x14ac:dyDescent="0.2">
      <c r="A178" s="4" t="s">
        <v>428</v>
      </c>
      <c r="B178" s="4" t="s">
        <v>429</v>
      </c>
      <c r="C178" s="4" t="s">
        <v>430</v>
      </c>
      <c r="D178" s="4" t="s">
        <v>58</v>
      </c>
      <c r="E178" s="4" t="str">
        <f>MID(Timezone[[#This Row],[GMT Offset]], 5, 6) &amp; " - " &amp; Timezone[[#This Row],[Country Name]] &amp; " (" &amp;Timezone[[#This Row],[Time Zone]] &amp; ")"</f>
        <v>+01:00 - Guernsey (Europe/Guernsey)</v>
      </c>
    </row>
    <row r="179" spans="1:5" x14ac:dyDescent="0.2">
      <c r="A179" s="4" t="s">
        <v>431</v>
      </c>
      <c r="B179" s="4" t="s">
        <v>432</v>
      </c>
      <c r="C179" s="4" t="s">
        <v>433</v>
      </c>
      <c r="D179" s="4" t="s">
        <v>995</v>
      </c>
      <c r="E179" s="4" t="str">
        <f>MID(Timezone[[#This Row],[GMT Offset]], 5, 6) &amp; " - " &amp; Timezone[[#This Row],[Country Name]] &amp; " (" &amp;Timezone[[#This Row],[Time Zone]] &amp; ")"</f>
        <v>+00:00 - Guinea (Africa/Conakry)</v>
      </c>
    </row>
    <row r="180" spans="1:5" x14ac:dyDescent="0.2">
      <c r="A180" s="4" t="s">
        <v>434</v>
      </c>
      <c r="B180" s="4" t="s">
        <v>435</v>
      </c>
      <c r="C180" s="4" t="s">
        <v>436</v>
      </c>
      <c r="D180" s="4" t="s">
        <v>995</v>
      </c>
      <c r="E180" s="4" t="str">
        <f>MID(Timezone[[#This Row],[GMT Offset]], 5, 6) &amp; " - " &amp; Timezone[[#This Row],[Country Name]] &amp; " (" &amp;Timezone[[#This Row],[Time Zone]] &amp; ")"</f>
        <v>+00:00 - Guinea-Bissau (Africa/Bissau)</v>
      </c>
    </row>
    <row r="181" spans="1:5" x14ac:dyDescent="0.2">
      <c r="A181" s="4" t="s">
        <v>437</v>
      </c>
      <c r="B181" s="4" t="s">
        <v>438</v>
      </c>
      <c r="C181" s="4" t="s">
        <v>439</v>
      </c>
      <c r="D181" s="4" t="s">
        <v>72</v>
      </c>
      <c r="E181" s="4" t="str">
        <f>MID(Timezone[[#This Row],[GMT Offset]], 5, 6) &amp; " - " &amp; Timezone[[#This Row],[Country Name]] &amp; " (" &amp;Timezone[[#This Row],[Time Zone]] &amp; ")"</f>
        <v>-04:00 - Guyana (America/Guyana)</v>
      </c>
    </row>
    <row r="182" spans="1:5" x14ac:dyDescent="0.2">
      <c r="A182" s="4" t="s">
        <v>440</v>
      </c>
      <c r="B182" s="4" t="s">
        <v>441</v>
      </c>
      <c r="C182" s="4" t="s">
        <v>442</v>
      </c>
      <c r="D182" s="4" t="s">
        <v>72</v>
      </c>
      <c r="E182" s="4" t="str">
        <f>MID(Timezone[[#This Row],[GMT Offset]], 5, 6) &amp; " - " &amp; Timezone[[#This Row],[Country Name]] &amp; " (" &amp;Timezone[[#This Row],[Time Zone]] &amp; ")"</f>
        <v>-04:00 - Haiti (America/Port-au-Prince)</v>
      </c>
    </row>
    <row r="183" spans="1:5" x14ac:dyDescent="0.2">
      <c r="A183" s="4" t="s">
        <v>443</v>
      </c>
      <c r="B183" s="4" t="s">
        <v>444</v>
      </c>
      <c r="C183" s="4" t="s">
        <v>445</v>
      </c>
      <c r="D183" s="4" t="s">
        <v>161</v>
      </c>
      <c r="E183" s="4" t="str">
        <f>MID(Timezone[[#This Row],[GMT Offset]], 5, 6) &amp; " - " &amp; Timezone[[#This Row],[Country Name]] &amp; " (" &amp;Timezone[[#This Row],[Time Zone]] &amp; ")"</f>
        <v>-06:00 - Honduras (America/Tegucigalpa)</v>
      </c>
    </row>
    <row r="184" spans="1:5" x14ac:dyDescent="0.2">
      <c r="A184" s="4" t="s">
        <v>446</v>
      </c>
      <c r="B184" s="4" t="s">
        <v>447</v>
      </c>
      <c r="C184" s="4" t="s">
        <v>448</v>
      </c>
      <c r="D184" s="4" t="s">
        <v>76</v>
      </c>
      <c r="E184" s="4" t="str">
        <f>MID(Timezone[[#This Row],[GMT Offset]], 5, 6) &amp; " - " &amp; Timezone[[#This Row],[Country Name]] &amp; " (" &amp;Timezone[[#This Row],[Time Zone]] &amp; ")"</f>
        <v>+08:00 - Hong Kong (Asia/Hong_Kong)</v>
      </c>
    </row>
    <row r="185" spans="1:5" x14ac:dyDescent="0.2">
      <c r="A185" s="4" t="s">
        <v>449</v>
      </c>
      <c r="B185" s="4" t="s">
        <v>450</v>
      </c>
      <c r="C185" s="4" t="s">
        <v>451</v>
      </c>
      <c r="D185" s="4" t="s">
        <v>54</v>
      </c>
      <c r="E185" s="4" t="str">
        <f>MID(Timezone[[#This Row],[GMT Offset]], 5, 6) &amp; " - " &amp; Timezone[[#This Row],[Country Name]] &amp; " (" &amp;Timezone[[#This Row],[Time Zone]] &amp; ")"</f>
        <v>+02:00 - Hungary (Europe/Budapest)</v>
      </c>
    </row>
    <row r="186" spans="1:5" x14ac:dyDescent="0.2">
      <c r="A186" s="4" t="s">
        <v>452</v>
      </c>
      <c r="B186" s="4" t="s">
        <v>453</v>
      </c>
      <c r="C186" s="4" t="s">
        <v>454</v>
      </c>
      <c r="D186" s="4" t="s">
        <v>995</v>
      </c>
      <c r="E186" s="4" t="str">
        <f>MID(Timezone[[#This Row],[GMT Offset]], 5, 6) &amp; " - " &amp; Timezone[[#This Row],[Country Name]] &amp; " (" &amp;Timezone[[#This Row],[Time Zone]] &amp; ")"</f>
        <v>+00:00 - Iceland (Atlantic/Reykjavik)</v>
      </c>
    </row>
    <row r="187" spans="1:5" x14ac:dyDescent="0.2">
      <c r="A187" s="4" t="s">
        <v>455</v>
      </c>
      <c r="B187" s="4" t="s">
        <v>456</v>
      </c>
      <c r="C187" s="4" t="s">
        <v>457</v>
      </c>
      <c r="D187" s="4" t="s">
        <v>458</v>
      </c>
      <c r="E187" s="4" t="str">
        <f>MID(Timezone[[#This Row],[GMT Offset]], 5, 6) &amp; " - " &amp; Timezone[[#This Row],[Country Name]] &amp; " (" &amp;Timezone[[#This Row],[Time Zone]] &amp; ")"</f>
        <v>+05:30 - India (Asia/Kolkata)</v>
      </c>
    </row>
    <row r="188" spans="1:5" x14ac:dyDescent="0.2">
      <c r="A188" s="4" t="s">
        <v>459</v>
      </c>
      <c r="B188" s="4" t="s">
        <v>460</v>
      </c>
      <c r="C188" s="4" t="s">
        <v>461</v>
      </c>
      <c r="D188" s="4" t="s">
        <v>78</v>
      </c>
      <c r="E188" s="4" t="str">
        <f>MID(Timezone[[#This Row],[GMT Offset]], 5, 6) &amp; " - " &amp; Timezone[[#This Row],[Country Name]] &amp; " (" &amp;Timezone[[#This Row],[Time Zone]] &amp; ")"</f>
        <v>+07:00 - Indonesia (Asia/Jakarta)</v>
      </c>
    </row>
    <row r="189" spans="1:5" x14ac:dyDescent="0.2">
      <c r="A189" s="4" t="s">
        <v>459</v>
      </c>
      <c r="B189" s="4" t="s">
        <v>460</v>
      </c>
      <c r="C189" s="4" t="s">
        <v>462</v>
      </c>
      <c r="D189" s="4" t="s">
        <v>337</v>
      </c>
      <c r="E189" s="4" t="str">
        <f>MID(Timezone[[#This Row],[GMT Offset]], 5, 6) &amp; " - " &amp; Timezone[[#This Row],[Country Name]] &amp; " (" &amp;Timezone[[#This Row],[Time Zone]] &amp; ")"</f>
        <v>+09:00 - Indonesia (Asia/Jayapura)</v>
      </c>
    </row>
    <row r="190" spans="1:5" x14ac:dyDescent="0.2">
      <c r="A190" s="4" t="s">
        <v>459</v>
      </c>
      <c r="B190" s="4" t="s">
        <v>460</v>
      </c>
      <c r="C190" s="4" t="s">
        <v>463</v>
      </c>
      <c r="D190" s="4" t="s">
        <v>76</v>
      </c>
      <c r="E190" s="4" t="str">
        <f>MID(Timezone[[#This Row],[GMT Offset]], 5, 6) &amp; " - " &amp; Timezone[[#This Row],[Country Name]] &amp; " (" &amp;Timezone[[#This Row],[Time Zone]] &amp; ")"</f>
        <v>+08:00 - Indonesia (Asia/Makassar)</v>
      </c>
    </row>
    <row r="191" spans="1:5" x14ac:dyDescent="0.2">
      <c r="A191" s="4" t="s">
        <v>459</v>
      </c>
      <c r="B191" s="4" t="s">
        <v>460</v>
      </c>
      <c r="C191" s="4" t="s">
        <v>464</v>
      </c>
      <c r="D191" s="4" t="s">
        <v>78</v>
      </c>
      <c r="E191" s="4" t="str">
        <f>MID(Timezone[[#This Row],[GMT Offset]], 5, 6) &amp; " - " &amp; Timezone[[#This Row],[Country Name]] &amp; " (" &amp;Timezone[[#This Row],[Time Zone]] &amp; ")"</f>
        <v>+07:00 - Indonesia (Asia/Pontianak)</v>
      </c>
    </row>
    <row r="192" spans="1:5" x14ac:dyDescent="0.2">
      <c r="A192" s="4" t="s">
        <v>465</v>
      </c>
      <c r="B192" s="4" t="s">
        <v>466</v>
      </c>
      <c r="C192" s="4" t="s">
        <v>467</v>
      </c>
      <c r="D192" s="4" t="s">
        <v>46</v>
      </c>
      <c r="E192" s="4" t="str">
        <f>MID(Timezone[[#This Row],[GMT Offset]], 5, 6) &amp; " - " &amp; Timezone[[#This Row],[Country Name]] &amp; " (" &amp;Timezone[[#This Row],[Time Zone]] &amp; ")"</f>
        <v>+04:30 - Iran (Asia/Tehran)</v>
      </c>
    </row>
    <row r="193" spans="1:5" x14ac:dyDescent="0.2">
      <c r="A193" s="4" t="s">
        <v>468</v>
      </c>
      <c r="B193" s="4" t="s">
        <v>469</v>
      </c>
      <c r="C193" s="4" t="s">
        <v>470</v>
      </c>
      <c r="D193" s="4" t="s">
        <v>50</v>
      </c>
      <c r="E193" s="4" t="str">
        <f>MID(Timezone[[#This Row],[GMT Offset]], 5, 6) &amp; " - " &amp; Timezone[[#This Row],[Country Name]] &amp; " (" &amp;Timezone[[#This Row],[Time Zone]] &amp; ")"</f>
        <v>+03:00 - Iraq (Asia/Baghdad)</v>
      </c>
    </row>
    <row r="194" spans="1:5" x14ac:dyDescent="0.2">
      <c r="A194" s="4" t="s">
        <v>471</v>
      </c>
      <c r="B194" s="4" t="s">
        <v>472</v>
      </c>
      <c r="C194" s="4" t="s">
        <v>473</v>
      </c>
      <c r="D194" s="4" t="s">
        <v>58</v>
      </c>
      <c r="E194" s="4" t="str">
        <f>MID(Timezone[[#This Row],[GMT Offset]], 5, 6) &amp; " - " &amp; Timezone[[#This Row],[Country Name]] &amp; " (" &amp;Timezone[[#This Row],[Time Zone]] &amp; ")"</f>
        <v>+01:00 - Ireland (Europe/Dublin)</v>
      </c>
    </row>
    <row r="195" spans="1:5" x14ac:dyDescent="0.2">
      <c r="A195" s="4" t="s">
        <v>474</v>
      </c>
      <c r="B195" s="4" t="s">
        <v>475</v>
      </c>
      <c r="C195" s="4" t="s">
        <v>476</v>
      </c>
      <c r="D195" s="4" t="s">
        <v>58</v>
      </c>
      <c r="E195" s="4" t="str">
        <f>MID(Timezone[[#This Row],[GMT Offset]], 5, 6) &amp; " - " &amp; Timezone[[#This Row],[Country Name]] &amp; " (" &amp;Timezone[[#This Row],[Time Zone]] &amp; ")"</f>
        <v>+01:00 - Isle of Man (Europe/Isle_of_Man)</v>
      </c>
    </row>
    <row r="196" spans="1:5" x14ac:dyDescent="0.2">
      <c r="A196" s="4" t="s">
        <v>477</v>
      </c>
      <c r="B196" s="4" t="s">
        <v>478</v>
      </c>
      <c r="C196" s="4" t="s">
        <v>479</v>
      </c>
      <c r="D196" s="4" t="s">
        <v>50</v>
      </c>
      <c r="E196" s="4" t="str">
        <f>MID(Timezone[[#This Row],[GMT Offset]], 5, 6) &amp; " - " &amp; Timezone[[#This Row],[Country Name]] &amp; " (" &amp;Timezone[[#This Row],[Time Zone]] &amp; ")"</f>
        <v>+03:00 - Israel (Asia/Jerusalem)</v>
      </c>
    </row>
    <row r="197" spans="1:5" x14ac:dyDescent="0.2">
      <c r="A197" s="4" t="s">
        <v>480</v>
      </c>
      <c r="B197" s="4" t="s">
        <v>481</v>
      </c>
      <c r="C197" s="4" t="s">
        <v>482</v>
      </c>
      <c r="D197" s="4" t="s">
        <v>54</v>
      </c>
      <c r="E197" s="4" t="str">
        <f>MID(Timezone[[#This Row],[GMT Offset]], 5, 6) &amp; " - " &amp; Timezone[[#This Row],[Country Name]] &amp; " (" &amp;Timezone[[#This Row],[Time Zone]] &amp; ")"</f>
        <v>+02:00 - Italy (Europe/Rome)</v>
      </c>
    </row>
    <row r="198" spans="1:5" x14ac:dyDescent="0.2">
      <c r="A198" s="4" t="s">
        <v>483</v>
      </c>
      <c r="B198" s="4" t="s">
        <v>484</v>
      </c>
      <c r="C198" s="4" t="s">
        <v>485</v>
      </c>
      <c r="D198" s="4" t="s">
        <v>995</v>
      </c>
      <c r="E198" s="4" t="str">
        <f>MID(Timezone[[#This Row],[GMT Offset]], 5, 6) &amp; " - " &amp; Timezone[[#This Row],[Country Name]] &amp; " (" &amp;Timezone[[#This Row],[Time Zone]] &amp; ")"</f>
        <v>+00:00 - Ivory Coast (Africa/Abidjan)</v>
      </c>
    </row>
    <row r="199" spans="1:5" x14ac:dyDescent="0.2">
      <c r="A199" s="4" t="s">
        <v>486</v>
      </c>
      <c r="B199" s="4" t="s">
        <v>487</v>
      </c>
      <c r="C199" s="4" t="s">
        <v>488</v>
      </c>
      <c r="D199" s="4" t="s">
        <v>192</v>
      </c>
      <c r="E199" s="4" t="str">
        <f>MID(Timezone[[#This Row],[GMT Offset]], 5, 6) &amp; " - " &amp; Timezone[[#This Row],[Country Name]] &amp; " (" &amp;Timezone[[#This Row],[Time Zone]] &amp; ")"</f>
        <v>-05:00 - Jamaica (America/Jamaica)</v>
      </c>
    </row>
    <row r="200" spans="1:5" x14ac:dyDescent="0.2">
      <c r="A200" s="4" t="s">
        <v>489</v>
      </c>
      <c r="B200" s="4" t="s">
        <v>490</v>
      </c>
      <c r="C200" s="4" t="s">
        <v>491</v>
      </c>
      <c r="D200" s="4" t="s">
        <v>337</v>
      </c>
      <c r="E200" s="4" t="str">
        <f>MID(Timezone[[#This Row],[GMT Offset]], 5, 6) &amp; " - " &amp; Timezone[[#This Row],[Country Name]] &amp; " (" &amp;Timezone[[#This Row],[Time Zone]] &amp; ")"</f>
        <v>+09:00 - Japan (Asia/Tokyo)</v>
      </c>
    </row>
    <row r="201" spans="1:5" x14ac:dyDescent="0.2">
      <c r="A201" s="4" t="s">
        <v>492</v>
      </c>
      <c r="B201" s="4" t="s">
        <v>493</v>
      </c>
      <c r="C201" s="4" t="s">
        <v>494</v>
      </c>
      <c r="D201" s="4" t="s">
        <v>58</v>
      </c>
      <c r="E201" s="4" t="str">
        <f>MID(Timezone[[#This Row],[GMT Offset]], 5, 6) &amp; " - " &amp; Timezone[[#This Row],[Country Name]] &amp; " (" &amp;Timezone[[#This Row],[Time Zone]] &amp; ")"</f>
        <v>+01:00 - Jersey (Europe/Jersey)</v>
      </c>
    </row>
    <row r="202" spans="1:5" x14ac:dyDescent="0.2">
      <c r="A202" s="4" t="s">
        <v>495</v>
      </c>
      <c r="B202" s="4" t="s">
        <v>496</v>
      </c>
      <c r="C202" s="4" t="s">
        <v>497</v>
      </c>
      <c r="D202" s="4" t="s">
        <v>50</v>
      </c>
      <c r="E202" s="4" t="str">
        <f>MID(Timezone[[#This Row],[GMT Offset]], 5, 6) &amp; " - " &amp; Timezone[[#This Row],[Country Name]] &amp; " (" &amp;Timezone[[#This Row],[Time Zone]] &amp; ")"</f>
        <v>+03:00 - Jordan (Asia/Amman)</v>
      </c>
    </row>
    <row r="203" spans="1:5" x14ac:dyDescent="0.2">
      <c r="A203" s="4" t="s">
        <v>498</v>
      </c>
      <c r="B203" s="4" t="s">
        <v>499</v>
      </c>
      <c r="C203" s="4" t="s">
        <v>500</v>
      </c>
      <c r="D203" s="4" t="s">
        <v>91</v>
      </c>
      <c r="E203" s="4" t="str">
        <f>MID(Timezone[[#This Row],[GMT Offset]], 5, 6) &amp; " - " &amp; Timezone[[#This Row],[Country Name]] &amp; " (" &amp;Timezone[[#This Row],[Time Zone]] &amp; ")"</f>
        <v>+06:00 - Kazakhstan (Asia/Almaty)</v>
      </c>
    </row>
    <row r="204" spans="1:5" x14ac:dyDescent="0.2">
      <c r="A204" s="4" t="s">
        <v>498</v>
      </c>
      <c r="B204" s="4" t="s">
        <v>499</v>
      </c>
      <c r="C204" s="4" t="s">
        <v>501</v>
      </c>
      <c r="D204" s="4" t="s">
        <v>82</v>
      </c>
      <c r="E204" s="4" t="str">
        <f>MID(Timezone[[#This Row],[GMT Offset]], 5, 6) &amp; " - " &amp; Timezone[[#This Row],[Country Name]] &amp; " (" &amp;Timezone[[#This Row],[Time Zone]] &amp; ")"</f>
        <v>+05:00 - Kazakhstan (Asia/Aqtau)</v>
      </c>
    </row>
    <row r="205" spans="1:5" x14ac:dyDescent="0.2">
      <c r="A205" s="4" t="s">
        <v>498</v>
      </c>
      <c r="B205" s="4" t="s">
        <v>499</v>
      </c>
      <c r="C205" s="4" t="s">
        <v>502</v>
      </c>
      <c r="D205" s="4" t="s">
        <v>82</v>
      </c>
      <c r="E205" s="4" t="str">
        <f>MID(Timezone[[#This Row],[GMT Offset]], 5, 6) &amp; " - " &amp; Timezone[[#This Row],[Country Name]] &amp; " (" &amp;Timezone[[#This Row],[Time Zone]] &amp; ")"</f>
        <v>+05:00 - Kazakhstan (Asia/Aqtobe)</v>
      </c>
    </row>
    <row r="206" spans="1:5" x14ac:dyDescent="0.2">
      <c r="A206" s="4" t="s">
        <v>498</v>
      </c>
      <c r="B206" s="4" t="s">
        <v>499</v>
      </c>
      <c r="C206" s="4" t="s">
        <v>503</v>
      </c>
      <c r="D206" s="4" t="s">
        <v>82</v>
      </c>
      <c r="E206" s="4" t="str">
        <f>MID(Timezone[[#This Row],[GMT Offset]], 5, 6) &amp; " - " &amp; Timezone[[#This Row],[Country Name]] &amp; " (" &amp;Timezone[[#This Row],[Time Zone]] &amp; ")"</f>
        <v>+05:00 - Kazakhstan (Asia/Atyrau)</v>
      </c>
    </row>
    <row r="207" spans="1:5" x14ac:dyDescent="0.2">
      <c r="A207" s="4" t="s">
        <v>498</v>
      </c>
      <c r="B207" s="4" t="s">
        <v>499</v>
      </c>
      <c r="C207" s="4" t="s">
        <v>504</v>
      </c>
      <c r="D207" s="4" t="s">
        <v>82</v>
      </c>
      <c r="E207" s="4" t="str">
        <f>MID(Timezone[[#This Row],[GMT Offset]], 5, 6) &amp; " - " &amp; Timezone[[#This Row],[Country Name]] &amp; " (" &amp;Timezone[[#This Row],[Time Zone]] &amp; ")"</f>
        <v>+05:00 - Kazakhstan (Asia/Oral)</v>
      </c>
    </row>
    <row r="208" spans="1:5" x14ac:dyDescent="0.2">
      <c r="A208" s="4" t="s">
        <v>498</v>
      </c>
      <c r="B208" s="4" t="s">
        <v>499</v>
      </c>
      <c r="C208" s="4" t="s">
        <v>505</v>
      </c>
      <c r="D208" s="4" t="s">
        <v>91</v>
      </c>
      <c r="E208" s="4" t="str">
        <f>MID(Timezone[[#This Row],[GMT Offset]], 5, 6) &amp; " - " &amp; Timezone[[#This Row],[Country Name]] &amp; " (" &amp;Timezone[[#This Row],[Time Zone]] &amp; ")"</f>
        <v>+06:00 - Kazakhstan (Asia/Qyzylorda)</v>
      </c>
    </row>
    <row r="209" spans="1:5" x14ac:dyDescent="0.2">
      <c r="A209" s="4" t="s">
        <v>506</v>
      </c>
      <c r="B209" s="4" t="s">
        <v>507</v>
      </c>
      <c r="C209" s="4" t="s">
        <v>508</v>
      </c>
      <c r="D209" s="4" t="s">
        <v>50</v>
      </c>
      <c r="E209" s="4" t="str">
        <f>MID(Timezone[[#This Row],[GMT Offset]], 5, 6) &amp; " - " &amp; Timezone[[#This Row],[Country Name]] &amp; " (" &amp;Timezone[[#This Row],[Time Zone]] &amp; ")"</f>
        <v>+03:00 - Kenya (Africa/Nairobi)</v>
      </c>
    </row>
    <row r="210" spans="1:5" x14ac:dyDescent="0.2">
      <c r="A210" s="4" t="s">
        <v>509</v>
      </c>
      <c r="B210" s="4" t="s">
        <v>510</v>
      </c>
      <c r="C210" s="4" t="s">
        <v>511</v>
      </c>
      <c r="D210" s="4" t="s">
        <v>512</v>
      </c>
      <c r="E210" s="4" t="str">
        <f>MID(Timezone[[#This Row],[GMT Offset]], 5, 6) &amp; " - " &amp; Timezone[[#This Row],[Country Name]] &amp; " (" &amp;Timezone[[#This Row],[Time Zone]] &amp; ")"</f>
        <v>+13:00 - Kiribati (Pacific/Enderbury)</v>
      </c>
    </row>
    <row r="211" spans="1:5" x14ac:dyDescent="0.2">
      <c r="A211" s="4" t="s">
        <v>509</v>
      </c>
      <c r="B211" s="4" t="s">
        <v>510</v>
      </c>
      <c r="C211" s="4" t="s">
        <v>513</v>
      </c>
      <c r="D211" s="4" t="s">
        <v>514</v>
      </c>
      <c r="E211" s="4" t="str">
        <f>MID(Timezone[[#This Row],[GMT Offset]], 5, 6) &amp; " - " &amp; Timezone[[#This Row],[Country Name]] &amp; " (" &amp;Timezone[[#This Row],[Time Zone]] &amp; ")"</f>
        <v>+14:00 - Kiribati (Pacific/Kiritimati)</v>
      </c>
    </row>
    <row r="212" spans="1:5" x14ac:dyDescent="0.2">
      <c r="A212" s="4" t="s">
        <v>509</v>
      </c>
      <c r="B212" s="4" t="s">
        <v>510</v>
      </c>
      <c r="C212" s="4" t="s">
        <v>515</v>
      </c>
      <c r="D212" s="4" t="s">
        <v>84</v>
      </c>
      <c r="E212" s="4" t="str">
        <f>MID(Timezone[[#This Row],[GMT Offset]], 5, 6) &amp; " - " &amp; Timezone[[#This Row],[Country Name]] &amp; " (" &amp;Timezone[[#This Row],[Time Zone]] &amp; ")"</f>
        <v>+12:00 - Kiribati (Pacific/Tarawa)</v>
      </c>
    </row>
    <row r="213" spans="1:5" x14ac:dyDescent="0.2">
      <c r="A213" s="4" t="s">
        <v>516</v>
      </c>
      <c r="B213" s="4" t="s">
        <v>517</v>
      </c>
      <c r="C213" s="4" t="s">
        <v>518</v>
      </c>
      <c r="D213" s="4" t="s">
        <v>50</v>
      </c>
      <c r="E213" s="4" t="str">
        <f>MID(Timezone[[#This Row],[GMT Offset]], 5, 6) &amp; " - " &amp; Timezone[[#This Row],[Country Name]] &amp; " (" &amp;Timezone[[#This Row],[Time Zone]] &amp; ")"</f>
        <v>+03:00 - Kuwait (Asia/Kuwait)</v>
      </c>
    </row>
    <row r="214" spans="1:5" x14ac:dyDescent="0.2">
      <c r="A214" s="4" t="s">
        <v>519</v>
      </c>
      <c r="B214" s="4" t="s">
        <v>520</v>
      </c>
      <c r="C214" s="4" t="s">
        <v>521</v>
      </c>
      <c r="D214" s="4" t="s">
        <v>91</v>
      </c>
      <c r="E214" s="4" t="str">
        <f>MID(Timezone[[#This Row],[GMT Offset]], 5, 6) &amp; " - " &amp; Timezone[[#This Row],[Country Name]] &amp; " (" &amp;Timezone[[#This Row],[Time Zone]] &amp; ")"</f>
        <v>+06:00 - Kyrgyzstan (Asia/Bishkek)</v>
      </c>
    </row>
    <row r="215" spans="1:5" x14ac:dyDescent="0.2">
      <c r="A215" s="4" t="s">
        <v>522</v>
      </c>
      <c r="B215" s="4" t="s">
        <v>523</v>
      </c>
      <c r="C215" s="4" t="s">
        <v>524</v>
      </c>
      <c r="D215" s="4" t="s">
        <v>78</v>
      </c>
      <c r="E215" s="4" t="str">
        <f>MID(Timezone[[#This Row],[GMT Offset]], 5, 6) &amp; " - " &amp; Timezone[[#This Row],[Country Name]] &amp; " (" &amp;Timezone[[#This Row],[Time Zone]] &amp; ")"</f>
        <v>+07:00 - Laos (Asia/Vientiane)</v>
      </c>
    </row>
    <row r="216" spans="1:5" x14ac:dyDescent="0.2">
      <c r="A216" s="4" t="s">
        <v>525</v>
      </c>
      <c r="B216" s="4" t="s">
        <v>526</v>
      </c>
      <c r="C216" s="4" t="s">
        <v>527</v>
      </c>
      <c r="D216" s="4" t="s">
        <v>50</v>
      </c>
      <c r="E216" s="4" t="str">
        <f>MID(Timezone[[#This Row],[GMT Offset]], 5, 6) &amp; " - " &amp; Timezone[[#This Row],[Country Name]] &amp; " (" &amp;Timezone[[#This Row],[Time Zone]] &amp; ")"</f>
        <v>+03:00 - Latvia (Europe/Riga)</v>
      </c>
    </row>
    <row r="217" spans="1:5" x14ac:dyDescent="0.2">
      <c r="A217" s="4" t="s">
        <v>528</v>
      </c>
      <c r="B217" s="4" t="s">
        <v>529</v>
      </c>
      <c r="C217" s="4" t="s">
        <v>530</v>
      </c>
      <c r="D217" s="4" t="s">
        <v>50</v>
      </c>
      <c r="E217" s="4" t="str">
        <f>MID(Timezone[[#This Row],[GMT Offset]], 5, 6) &amp; " - " &amp; Timezone[[#This Row],[Country Name]] &amp; " (" &amp;Timezone[[#This Row],[Time Zone]] &amp; ")"</f>
        <v>+03:00 - Lebanon (Asia/Beirut)</v>
      </c>
    </row>
    <row r="218" spans="1:5" x14ac:dyDescent="0.2">
      <c r="A218" s="4" t="s">
        <v>531</v>
      </c>
      <c r="B218" s="4" t="s">
        <v>532</v>
      </c>
      <c r="C218" s="4" t="s">
        <v>533</v>
      </c>
      <c r="D218" s="4" t="s">
        <v>54</v>
      </c>
      <c r="E218" s="4" t="str">
        <f>MID(Timezone[[#This Row],[GMT Offset]], 5, 6) &amp; " - " &amp; Timezone[[#This Row],[Country Name]] &amp; " (" &amp;Timezone[[#This Row],[Time Zone]] &amp; ")"</f>
        <v>+02:00 - Lesotho (Africa/Maseru)</v>
      </c>
    </row>
    <row r="219" spans="1:5" x14ac:dyDescent="0.2">
      <c r="A219" s="4" t="s">
        <v>534</v>
      </c>
      <c r="B219" s="4" t="s">
        <v>535</v>
      </c>
      <c r="C219" s="4" t="s">
        <v>536</v>
      </c>
      <c r="D219" s="4" t="s">
        <v>995</v>
      </c>
      <c r="E219" s="4" t="str">
        <f>MID(Timezone[[#This Row],[GMT Offset]], 5, 6) &amp; " - " &amp; Timezone[[#This Row],[Country Name]] &amp; " (" &amp;Timezone[[#This Row],[Time Zone]] &amp; ")"</f>
        <v>+00:00 - Liberia (Africa/Monrovia)</v>
      </c>
    </row>
    <row r="220" spans="1:5" x14ac:dyDescent="0.2">
      <c r="A220" s="4" t="s">
        <v>537</v>
      </c>
      <c r="B220" s="4" t="s">
        <v>538</v>
      </c>
      <c r="C220" s="4" t="s">
        <v>539</v>
      </c>
      <c r="D220" s="4" t="s">
        <v>54</v>
      </c>
      <c r="E220" s="4" t="str">
        <f>MID(Timezone[[#This Row],[GMT Offset]], 5, 6) &amp; " - " &amp; Timezone[[#This Row],[Country Name]] &amp; " (" &amp;Timezone[[#This Row],[Time Zone]] &amp; ")"</f>
        <v>+02:00 - Libya (Africa/Tripoli)</v>
      </c>
    </row>
    <row r="221" spans="1:5" x14ac:dyDescent="0.2">
      <c r="A221" s="4" t="s">
        <v>540</v>
      </c>
      <c r="B221" s="4" t="s">
        <v>541</v>
      </c>
      <c r="C221" s="4" t="s">
        <v>542</v>
      </c>
      <c r="D221" s="4" t="s">
        <v>54</v>
      </c>
      <c r="E221" s="4" t="str">
        <f>MID(Timezone[[#This Row],[GMT Offset]], 5, 6) &amp; " - " &amp; Timezone[[#This Row],[Country Name]] &amp; " (" &amp;Timezone[[#This Row],[Time Zone]] &amp; ")"</f>
        <v>+02:00 - Liechtenstein (Europe/Vaduz)</v>
      </c>
    </row>
    <row r="222" spans="1:5" x14ac:dyDescent="0.2">
      <c r="A222" s="4" t="s">
        <v>543</v>
      </c>
      <c r="B222" s="4" t="s">
        <v>544</v>
      </c>
      <c r="C222" s="4" t="s">
        <v>545</v>
      </c>
      <c r="D222" s="4" t="s">
        <v>50</v>
      </c>
      <c r="E222" s="4" t="str">
        <f>MID(Timezone[[#This Row],[GMT Offset]], 5, 6) &amp; " - " &amp; Timezone[[#This Row],[Country Name]] &amp; " (" &amp;Timezone[[#This Row],[Time Zone]] &amp; ")"</f>
        <v>+03:00 - Lithuania (Europe/Vilnius)</v>
      </c>
    </row>
    <row r="223" spans="1:5" x14ac:dyDescent="0.2">
      <c r="A223" s="4" t="s">
        <v>546</v>
      </c>
      <c r="B223" s="4" t="s">
        <v>547</v>
      </c>
      <c r="C223" s="4" t="s">
        <v>548</v>
      </c>
      <c r="D223" s="4" t="s">
        <v>54</v>
      </c>
      <c r="E223" s="4" t="str">
        <f>MID(Timezone[[#This Row],[GMT Offset]], 5, 6) &amp; " - " &amp; Timezone[[#This Row],[Country Name]] &amp; " (" &amp;Timezone[[#This Row],[Time Zone]] &amp; ")"</f>
        <v>+02:00 - Luxembourg (Europe/Luxembourg)</v>
      </c>
    </row>
    <row r="224" spans="1:5" x14ac:dyDescent="0.2">
      <c r="A224" s="4" t="s">
        <v>549</v>
      </c>
      <c r="B224" s="4" t="s">
        <v>550</v>
      </c>
      <c r="C224" s="4" t="s">
        <v>551</v>
      </c>
      <c r="D224" s="4" t="s">
        <v>76</v>
      </c>
      <c r="E224" s="4" t="str">
        <f>MID(Timezone[[#This Row],[GMT Offset]], 5, 6) &amp; " - " &amp; Timezone[[#This Row],[Country Name]] &amp; " (" &amp;Timezone[[#This Row],[Time Zone]] &amp; ")"</f>
        <v>+08:00 - Macao (Asia/Macau)</v>
      </c>
    </row>
    <row r="225" spans="1:5" x14ac:dyDescent="0.2">
      <c r="A225" s="4" t="s">
        <v>552</v>
      </c>
      <c r="B225" s="4" t="s">
        <v>553</v>
      </c>
      <c r="C225" s="4" t="s">
        <v>554</v>
      </c>
      <c r="D225" s="4" t="s">
        <v>54</v>
      </c>
      <c r="E225" s="4" t="str">
        <f>MID(Timezone[[#This Row],[GMT Offset]], 5, 6) &amp; " - " &amp; Timezone[[#This Row],[Country Name]] &amp; " (" &amp;Timezone[[#This Row],[Time Zone]] &amp; ")"</f>
        <v>+02:00 - Macedonia (Europe/Skopje)</v>
      </c>
    </row>
    <row r="226" spans="1:5" x14ac:dyDescent="0.2">
      <c r="A226" s="4" t="s">
        <v>555</v>
      </c>
      <c r="B226" s="4" t="s">
        <v>556</v>
      </c>
      <c r="C226" s="4" t="s">
        <v>557</v>
      </c>
      <c r="D226" s="4" t="s">
        <v>50</v>
      </c>
      <c r="E226" s="4" t="str">
        <f>MID(Timezone[[#This Row],[GMT Offset]], 5, 6) &amp; " - " &amp; Timezone[[#This Row],[Country Name]] &amp; " (" &amp;Timezone[[#This Row],[Time Zone]] &amp; ")"</f>
        <v>+03:00 - Madagascar (Indian/Antananarivo)</v>
      </c>
    </row>
    <row r="227" spans="1:5" x14ac:dyDescent="0.2">
      <c r="A227" s="4" t="s">
        <v>558</v>
      </c>
      <c r="B227" s="4" t="s">
        <v>559</v>
      </c>
      <c r="C227" s="4" t="s">
        <v>560</v>
      </c>
      <c r="D227" s="4" t="s">
        <v>54</v>
      </c>
      <c r="E227" s="4" t="str">
        <f>MID(Timezone[[#This Row],[GMT Offset]], 5, 6) &amp; " - " &amp; Timezone[[#This Row],[Country Name]] &amp; " (" &amp;Timezone[[#This Row],[Time Zone]] &amp; ")"</f>
        <v>+02:00 - Malawi (Africa/Blantyre)</v>
      </c>
    </row>
    <row r="228" spans="1:5" x14ac:dyDescent="0.2">
      <c r="A228" s="4" t="s">
        <v>561</v>
      </c>
      <c r="B228" s="4" t="s">
        <v>562</v>
      </c>
      <c r="C228" s="4" t="s">
        <v>563</v>
      </c>
      <c r="D228" s="4" t="s">
        <v>76</v>
      </c>
      <c r="E228" s="4" t="str">
        <f>MID(Timezone[[#This Row],[GMT Offset]], 5, 6) &amp; " - " &amp; Timezone[[#This Row],[Country Name]] &amp; " (" &amp;Timezone[[#This Row],[Time Zone]] &amp; ")"</f>
        <v>+08:00 - Malaysia (Asia/Kuala_Lumpur)</v>
      </c>
    </row>
    <row r="229" spans="1:5" x14ac:dyDescent="0.2">
      <c r="A229" s="4" t="s">
        <v>561</v>
      </c>
      <c r="B229" s="4" t="s">
        <v>562</v>
      </c>
      <c r="C229" s="4" t="s">
        <v>564</v>
      </c>
      <c r="D229" s="4" t="s">
        <v>76</v>
      </c>
      <c r="E229" s="4" t="str">
        <f>MID(Timezone[[#This Row],[GMT Offset]], 5, 6) &amp; " - " &amp; Timezone[[#This Row],[Country Name]] &amp; " (" &amp;Timezone[[#This Row],[Time Zone]] &amp; ")"</f>
        <v>+08:00 - Malaysia (Asia/Kuching)</v>
      </c>
    </row>
    <row r="230" spans="1:5" x14ac:dyDescent="0.2">
      <c r="A230" s="4" t="s">
        <v>565</v>
      </c>
      <c r="B230" s="4" t="s">
        <v>566</v>
      </c>
      <c r="C230" s="4" t="s">
        <v>567</v>
      </c>
      <c r="D230" s="4" t="s">
        <v>82</v>
      </c>
      <c r="E230" s="4" t="str">
        <f>MID(Timezone[[#This Row],[GMT Offset]], 5, 6) &amp; " - " &amp; Timezone[[#This Row],[Country Name]] &amp; " (" &amp;Timezone[[#This Row],[Time Zone]] &amp; ")"</f>
        <v>+05:00 - Maldives (Indian/Maldives)</v>
      </c>
    </row>
    <row r="231" spans="1:5" x14ac:dyDescent="0.2">
      <c r="A231" s="4" t="s">
        <v>568</v>
      </c>
      <c r="B231" s="4" t="s">
        <v>569</v>
      </c>
      <c r="C231" s="4" t="s">
        <v>570</v>
      </c>
      <c r="D231" s="4" t="s">
        <v>995</v>
      </c>
      <c r="E231" s="4" t="str">
        <f>MID(Timezone[[#This Row],[GMT Offset]], 5, 6) &amp; " - " &amp; Timezone[[#This Row],[Country Name]] &amp; " (" &amp;Timezone[[#This Row],[Time Zone]] &amp; ")"</f>
        <v>+00:00 - Mali (Africa/Bamako)</v>
      </c>
    </row>
    <row r="232" spans="1:5" x14ac:dyDescent="0.2">
      <c r="A232" s="4" t="s">
        <v>571</v>
      </c>
      <c r="B232" s="4" t="s">
        <v>572</v>
      </c>
      <c r="C232" s="4" t="s">
        <v>573</v>
      </c>
      <c r="D232" s="4" t="s">
        <v>54</v>
      </c>
      <c r="E232" s="4" t="str">
        <f>MID(Timezone[[#This Row],[GMT Offset]], 5, 6) &amp; " - " &amp; Timezone[[#This Row],[Country Name]] &amp; " (" &amp;Timezone[[#This Row],[Time Zone]] &amp; ")"</f>
        <v>+02:00 - Malta (Europe/Malta)</v>
      </c>
    </row>
    <row r="233" spans="1:5" x14ac:dyDescent="0.2">
      <c r="A233" s="4" t="s">
        <v>574</v>
      </c>
      <c r="B233" s="4" t="s">
        <v>575</v>
      </c>
      <c r="C233" s="4" t="s">
        <v>576</v>
      </c>
      <c r="D233" s="4" t="s">
        <v>84</v>
      </c>
      <c r="E233" s="4" t="str">
        <f>MID(Timezone[[#This Row],[GMT Offset]], 5, 6) &amp; " - " &amp; Timezone[[#This Row],[Country Name]] &amp; " (" &amp;Timezone[[#This Row],[Time Zone]] &amp; ")"</f>
        <v>+12:00 - Marshall Islands (Pacific/Kwajalein)</v>
      </c>
    </row>
    <row r="234" spans="1:5" x14ac:dyDescent="0.2">
      <c r="A234" s="4" t="s">
        <v>574</v>
      </c>
      <c r="B234" s="4" t="s">
        <v>575</v>
      </c>
      <c r="C234" s="4" t="s">
        <v>577</v>
      </c>
      <c r="D234" s="4" t="s">
        <v>84</v>
      </c>
      <c r="E234" s="4" t="str">
        <f>MID(Timezone[[#This Row],[GMT Offset]], 5, 6) &amp; " - " &amp; Timezone[[#This Row],[Country Name]] &amp; " (" &amp;Timezone[[#This Row],[Time Zone]] &amp; ")"</f>
        <v>+12:00 - Marshall Islands (Pacific/Majuro)</v>
      </c>
    </row>
    <row r="235" spans="1:5" x14ac:dyDescent="0.2">
      <c r="A235" s="4" t="s">
        <v>578</v>
      </c>
      <c r="B235" s="4" t="s">
        <v>579</v>
      </c>
      <c r="C235" s="4" t="s">
        <v>580</v>
      </c>
      <c r="D235" s="4" t="s">
        <v>72</v>
      </c>
      <c r="E235" s="4" t="str">
        <f>MID(Timezone[[#This Row],[GMT Offset]], 5, 6) &amp; " - " &amp; Timezone[[#This Row],[Country Name]] &amp; " (" &amp;Timezone[[#This Row],[Time Zone]] &amp; ")"</f>
        <v>-04:00 - Martinique (America/Martinique)</v>
      </c>
    </row>
    <row r="236" spans="1:5" x14ac:dyDescent="0.2">
      <c r="A236" s="4" t="s">
        <v>581</v>
      </c>
      <c r="B236" s="4" t="s">
        <v>582</v>
      </c>
      <c r="C236" s="4" t="s">
        <v>583</v>
      </c>
      <c r="D236" s="4" t="s">
        <v>995</v>
      </c>
      <c r="E236" s="4" t="str">
        <f>MID(Timezone[[#This Row],[GMT Offset]], 5, 6) &amp; " - " &amp; Timezone[[#This Row],[Country Name]] &amp; " (" &amp;Timezone[[#This Row],[Time Zone]] &amp; ")"</f>
        <v>+00:00 - Mauritania (Africa/Nouakchott)</v>
      </c>
    </row>
    <row r="237" spans="1:5" x14ac:dyDescent="0.2">
      <c r="A237" s="4" t="s">
        <v>584</v>
      </c>
      <c r="B237" s="4" t="s">
        <v>585</v>
      </c>
      <c r="C237" s="4" t="s">
        <v>586</v>
      </c>
      <c r="D237" s="4" t="s">
        <v>112</v>
      </c>
      <c r="E237" s="4" t="str">
        <f>MID(Timezone[[#This Row],[GMT Offset]], 5, 6) &amp; " - " &amp; Timezone[[#This Row],[Country Name]] &amp; " (" &amp;Timezone[[#This Row],[Time Zone]] &amp; ")"</f>
        <v>+04:00 - Mauritius (Indian/Mauritius)</v>
      </c>
    </row>
    <row r="238" spans="1:5" x14ac:dyDescent="0.2">
      <c r="A238" s="4" t="s">
        <v>587</v>
      </c>
      <c r="B238" s="4" t="s">
        <v>588</v>
      </c>
      <c r="C238" s="4" t="s">
        <v>589</v>
      </c>
      <c r="D238" s="4" t="s">
        <v>50</v>
      </c>
      <c r="E238" s="4" t="str">
        <f>MID(Timezone[[#This Row],[GMT Offset]], 5, 6) &amp; " - " &amp; Timezone[[#This Row],[Country Name]] &amp; " (" &amp;Timezone[[#This Row],[Time Zone]] &amp; ")"</f>
        <v>+03:00 - Mayotte (Indian/Mayotte)</v>
      </c>
    </row>
    <row r="239" spans="1:5" x14ac:dyDescent="0.2">
      <c r="A239" s="4" t="s">
        <v>590</v>
      </c>
      <c r="B239" s="4" t="s">
        <v>591</v>
      </c>
      <c r="C239" s="4" t="s">
        <v>592</v>
      </c>
      <c r="D239" s="4" t="s">
        <v>192</v>
      </c>
      <c r="E239" s="4" t="str">
        <f>MID(Timezone[[#This Row],[GMT Offset]], 5, 6) &amp; " - " &amp; Timezone[[#This Row],[Country Name]] &amp; " (" &amp;Timezone[[#This Row],[Time Zone]] &amp; ")"</f>
        <v>-05:00 - Mexico (America/Bahia_Banderas)</v>
      </c>
    </row>
    <row r="240" spans="1:5" x14ac:dyDescent="0.2">
      <c r="A240" s="4" t="s">
        <v>590</v>
      </c>
      <c r="B240" s="4" t="s">
        <v>591</v>
      </c>
      <c r="C240" s="4" t="s">
        <v>593</v>
      </c>
      <c r="D240" s="4" t="s">
        <v>192</v>
      </c>
      <c r="E240" s="4" t="str">
        <f>MID(Timezone[[#This Row],[GMT Offset]], 5, 6) &amp; " - " &amp; Timezone[[#This Row],[Country Name]] &amp; " (" &amp;Timezone[[#This Row],[Time Zone]] &amp; ")"</f>
        <v>-05:00 - Mexico (America/Cancun)</v>
      </c>
    </row>
    <row r="241" spans="1:5" x14ac:dyDescent="0.2">
      <c r="A241" s="4" t="s">
        <v>590</v>
      </c>
      <c r="B241" s="4" t="s">
        <v>591</v>
      </c>
      <c r="C241" s="4" t="s">
        <v>594</v>
      </c>
      <c r="D241" s="4" t="s">
        <v>161</v>
      </c>
      <c r="E241" s="4" t="str">
        <f>MID(Timezone[[#This Row],[GMT Offset]], 5, 6) &amp; " - " &amp; Timezone[[#This Row],[Country Name]] &amp; " (" &amp;Timezone[[#This Row],[Time Zone]] &amp; ")"</f>
        <v>-06:00 - Mexico (America/Chihuahua)</v>
      </c>
    </row>
    <row r="242" spans="1:5" x14ac:dyDescent="0.2">
      <c r="A242" s="4" t="s">
        <v>590</v>
      </c>
      <c r="B242" s="4" t="s">
        <v>591</v>
      </c>
      <c r="C242" s="4" t="s">
        <v>595</v>
      </c>
      <c r="D242" s="4" t="s">
        <v>234</v>
      </c>
      <c r="E242" s="4" t="str">
        <f>MID(Timezone[[#This Row],[GMT Offset]], 5, 6) &amp; " - " &amp; Timezone[[#This Row],[Country Name]] &amp; " (" &amp;Timezone[[#This Row],[Time Zone]] &amp; ")"</f>
        <v>-07:00 - Mexico (America/Hermosillo)</v>
      </c>
    </row>
    <row r="243" spans="1:5" x14ac:dyDescent="0.2">
      <c r="A243" s="4" t="s">
        <v>590</v>
      </c>
      <c r="B243" s="4" t="s">
        <v>591</v>
      </c>
      <c r="C243" s="4" t="s">
        <v>596</v>
      </c>
      <c r="D243" s="4" t="s">
        <v>192</v>
      </c>
      <c r="E243" s="4" t="str">
        <f>MID(Timezone[[#This Row],[GMT Offset]], 5, 6) &amp; " - " &amp; Timezone[[#This Row],[Country Name]] &amp; " (" &amp;Timezone[[#This Row],[Time Zone]] &amp; ")"</f>
        <v>-05:00 - Mexico (America/Matamoros)</v>
      </c>
    </row>
    <row r="244" spans="1:5" x14ac:dyDescent="0.2">
      <c r="A244" s="4" t="s">
        <v>590</v>
      </c>
      <c r="B244" s="4" t="s">
        <v>591</v>
      </c>
      <c r="C244" s="4" t="s">
        <v>597</v>
      </c>
      <c r="D244" s="4" t="s">
        <v>161</v>
      </c>
      <c r="E244" s="4" t="str">
        <f>MID(Timezone[[#This Row],[GMT Offset]], 5, 6) &amp; " - " &amp; Timezone[[#This Row],[Country Name]] &amp; " (" &amp;Timezone[[#This Row],[Time Zone]] &amp; ")"</f>
        <v>-06:00 - Mexico (America/Mazatlan)</v>
      </c>
    </row>
    <row r="245" spans="1:5" x14ac:dyDescent="0.2">
      <c r="A245" s="4" t="s">
        <v>590</v>
      </c>
      <c r="B245" s="4" t="s">
        <v>591</v>
      </c>
      <c r="C245" s="4" t="s">
        <v>598</v>
      </c>
      <c r="D245" s="4" t="s">
        <v>192</v>
      </c>
      <c r="E245" s="4" t="str">
        <f>MID(Timezone[[#This Row],[GMT Offset]], 5, 6) &amp; " - " &amp; Timezone[[#This Row],[Country Name]] &amp; " (" &amp;Timezone[[#This Row],[Time Zone]] &amp; ")"</f>
        <v>-05:00 - Mexico (America/Merida)</v>
      </c>
    </row>
    <row r="246" spans="1:5" x14ac:dyDescent="0.2">
      <c r="A246" s="4" t="s">
        <v>590</v>
      </c>
      <c r="B246" s="4" t="s">
        <v>591</v>
      </c>
      <c r="C246" s="4" t="s">
        <v>599</v>
      </c>
      <c r="D246" s="4" t="s">
        <v>192</v>
      </c>
      <c r="E246" s="4" t="str">
        <f>MID(Timezone[[#This Row],[GMT Offset]], 5, 6) &amp; " - " &amp; Timezone[[#This Row],[Country Name]] &amp; " (" &amp;Timezone[[#This Row],[Time Zone]] &amp; ")"</f>
        <v>-05:00 - Mexico (America/Mexico_City)</v>
      </c>
    </row>
    <row r="247" spans="1:5" x14ac:dyDescent="0.2">
      <c r="A247" s="4" t="s">
        <v>590</v>
      </c>
      <c r="B247" s="4" t="s">
        <v>591</v>
      </c>
      <c r="C247" s="4" t="s">
        <v>600</v>
      </c>
      <c r="D247" s="4" t="s">
        <v>192</v>
      </c>
      <c r="E247" s="4" t="str">
        <f>MID(Timezone[[#This Row],[GMT Offset]], 5, 6) &amp; " - " &amp; Timezone[[#This Row],[Country Name]] &amp; " (" &amp;Timezone[[#This Row],[Time Zone]] &amp; ")"</f>
        <v>-05:00 - Mexico (America/Monterrey)</v>
      </c>
    </row>
    <row r="248" spans="1:5" x14ac:dyDescent="0.2">
      <c r="A248" s="4" t="s">
        <v>590</v>
      </c>
      <c r="B248" s="4" t="s">
        <v>591</v>
      </c>
      <c r="C248" s="4" t="s">
        <v>601</v>
      </c>
      <c r="D248" s="4" t="s">
        <v>161</v>
      </c>
      <c r="E248" s="4" t="str">
        <f>MID(Timezone[[#This Row],[GMT Offset]], 5, 6) &amp; " - " &amp; Timezone[[#This Row],[Country Name]] &amp; " (" &amp;Timezone[[#This Row],[Time Zone]] &amp; ")"</f>
        <v>-06:00 - Mexico (America/Ojinaga)</v>
      </c>
    </row>
    <row r="249" spans="1:5" x14ac:dyDescent="0.2">
      <c r="A249" s="4" t="s">
        <v>590</v>
      </c>
      <c r="B249" s="4" t="s">
        <v>591</v>
      </c>
      <c r="C249" s="4" t="s">
        <v>602</v>
      </c>
      <c r="D249" s="4" t="s">
        <v>234</v>
      </c>
      <c r="E249" s="4" t="str">
        <f>MID(Timezone[[#This Row],[GMT Offset]], 5, 6) &amp; " - " &amp; Timezone[[#This Row],[Country Name]] &amp; " (" &amp;Timezone[[#This Row],[Time Zone]] &amp; ")"</f>
        <v>-07:00 - Mexico (America/Tijuana)</v>
      </c>
    </row>
    <row r="250" spans="1:5" x14ac:dyDescent="0.2">
      <c r="A250" s="4" t="s">
        <v>603</v>
      </c>
      <c r="B250" s="4" t="s">
        <v>604</v>
      </c>
      <c r="C250" s="4" t="s">
        <v>605</v>
      </c>
      <c r="D250" s="4" t="s">
        <v>80</v>
      </c>
      <c r="E250" s="4" t="str">
        <f>MID(Timezone[[#This Row],[GMT Offset]], 5, 6) &amp; " - " &amp; Timezone[[#This Row],[Country Name]] &amp; " (" &amp;Timezone[[#This Row],[Time Zone]] &amp; ")"</f>
        <v>+10:00 - Micronesia (Pacific/Chuuk)</v>
      </c>
    </row>
    <row r="251" spans="1:5" x14ac:dyDescent="0.2">
      <c r="A251" s="4" t="s">
        <v>603</v>
      </c>
      <c r="B251" s="4" t="s">
        <v>604</v>
      </c>
      <c r="C251" s="4" t="s">
        <v>606</v>
      </c>
      <c r="D251" s="4" t="s">
        <v>118</v>
      </c>
      <c r="E251" s="4" t="str">
        <f>MID(Timezone[[#This Row],[GMT Offset]], 5, 6) &amp; " - " &amp; Timezone[[#This Row],[Country Name]] &amp; " (" &amp;Timezone[[#This Row],[Time Zone]] &amp; ")"</f>
        <v>+11:00 - Micronesia (Pacific/Kosrae)</v>
      </c>
    </row>
    <row r="252" spans="1:5" x14ac:dyDescent="0.2">
      <c r="A252" s="4" t="s">
        <v>603</v>
      </c>
      <c r="B252" s="4" t="s">
        <v>604</v>
      </c>
      <c r="C252" s="4" t="s">
        <v>607</v>
      </c>
      <c r="D252" s="4" t="s">
        <v>118</v>
      </c>
      <c r="E252" s="4" t="str">
        <f>MID(Timezone[[#This Row],[GMT Offset]], 5, 6) &amp; " - " &amp; Timezone[[#This Row],[Country Name]] &amp; " (" &amp;Timezone[[#This Row],[Time Zone]] &amp; ")"</f>
        <v>+11:00 - Micronesia (Pacific/Pohnpei)</v>
      </c>
    </row>
    <row r="253" spans="1:5" x14ac:dyDescent="0.2">
      <c r="A253" s="4" t="s">
        <v>608</v>
      </c>
      <c r="B253" s="4" t="s">
        <v>609</v>
      </c>
      <c r="C253" s="4" t="s">
        <v>610</v>
      </c>
      <c r="D253" s="4" t="s">
        <v>50</v>
      </c>
      <c r="E253" s="4" t="str">
        <f>MID(Timezone[[#This Row],[GMT Offset]], 5, 6) &amp; " - " &amp; Timezone[[#This Row],[Country Name]] &amp; " (" &amp;Timezone[[#This Row],[Time Zone]] &amp; ")"</f>
        <v>+03:00 - Moldova (Europe/Chisinau)</v>
      </c>
    </row>
    <row r="254" spans="1:5" x14ac:dyDescent="0.2">
      <c r="A254" s="4" t="s">
        <v>611</v>
      </c>
      <c r="B254" s="4" t="s">
        <v>612</v>
      </c>
      <c r="C254" s="4" t="s">
        <v>613</v>
      </c>
      <c r="D254" s="4" t="s">
        <v>54</v>
      </c>
      <c r="E254" s="4" t="str">
        <f>MID(Timezone[[#This Row],[GMT Offset]], 5, 6) &amp; " - " &amp; Timezone[[#This Row],[Country Name]] &amp; " (" &amp;Timezone[[#This Row],[Time Zone]] &amp; ")"</f>
        <v>+02:00 - Monaco (Europe/Monaco)</v>
      </c>
    </row>
    <row r="255" spans="1:5" x14ac:dyDescent="0.2">
      <c r="A255" s="4" t="s">
        <v>614</v>
      </c>
      <c r="B255" s="4" t="s">
        <v>615</v>
      </c>
      <c r="C255" s="4" t="s">
        <v>616</v>
      </c>
      <c r="D255" s="4" t="s">
        <v>76</v>
      </c>
      <c r="E255" s="4" t="str">
        <f>MID(Timezone[[#This Row],[GMT Offset]], 5, 6) &amp; " - " &amp; Timezone[[#This Row],[Country Name]] &amp; " (" &amp;Timezone[[#This Row],[Time Zone]] &amp; ")"</f>
        <v>+08:00 - Mongolia (Asia/Choibalsan)</v>
      </c>
    </row>
    <row r="256" spans="1:5" x14ac:dyDescent="0.2">
      <c r="A256" s="4" t="s">
        <v>614</v>
      </c>
      <c r="B256" s="4" t="s">
        <v>615</v>
      </c>
      <c r="C256" s="4" t="s">
        <v>617</v>
      </c>
      <c r="D256" s="4" t="s">
        <v>78</v>
      </c>
      <c r="E256" s="4" t="str">
        <f>MID(Timezone[[#This Row],[GMT Offset]], 5, 6) &amp; " - " &amp; Timezone[[#This Row],[Country Name]] &amp; " (" &amp;Timezone[[#This Row],[Time Zone]] &amp; ")"</f>
        <v>+07:00 - Mongolia (Asia/Hovd)</v>
      </c>
    </row>
    <row r="257" spans="1:5" x14ac:dyDescent="0.2">
      <c r="A257" s="4" t="s">
        <v>614</v>
      </c>
      <c r="B257" s="4" t="s">
        <v>615</v>
      </c>
      <c r="C257" s="4" t="s">
        <v>618</v>
      </c>
      <c r="D257" s="4" t="s">
        <v>76</v>
      </c>
      <c r="E257" s="4" t="str">
        <f>MID(Timezone[[#This Row],[GMT Offset]], 5, 6) &amp; " - " &amp; Timezone[[#This Row],[Country Name]] &amp; " (" &amp;Timezone[[#This Row],[Time Zone]] &amp; ")"</f>
        <v>+08:00 - Mongolia (Asia/Ulaanbaatar)</v>
      </c>
    </row>
    <row r="258" spans="1:5" x14ac:dyDescent="0.2">
      <c r="A258" s="4" t="s">
        <v>619</v>
      </c>
      <c r="B258" s="4" t="s">
        <v>620</v>
      </c>
      <c r="C258" s="4" t="s">
        <v>621</v>
      </c>
      <c r="D258" s="4" t="s">
        <v>54</v>
      </c>
      <c r="E258" s="4" t="str">
        <f>MID(Timezone[[#This Row],[GMT Offset]], 5, 6) &amp; " - " &amp; Timezone[[#This Row],[Country Name]] &amp; " (" &amp;Timezone[[#This Row],[Time Zone]] &amp; ")"</f>
        <v>+02:00 - Montenegro (Europe/Podgorica)</v>
      </c>
    </row>
    <row r="259" spans="1:5" x14ac:dyDescent="0.2">
      <c r="A259" s="4" t="s">
        <v>622</v>
      </c>
      <c r="B259" s="4" t="s">
        <v>623</v>
      </c>
      <c r="C259" s="4" t="s">
        <v>624</v>
      </c>
      <c r="D259" s="4" t="s">
        <v>72</v>
      </c>
      <c r="E259" s="4" t="str">
        <f>MID(Timezone[[#This Row],[GMT Offset]], 5, 6) &amp; " - " &amp; Timezone[[#This Row],[Country Name]] &amp; " (" &amp;Timezone[[#This Row],[Time Zone]] &amp; ")"</f>
        <v>-04:00 - Montserrat (America/Montserrat)</v>
      </c>
    </row>
    <row r="260" spans="1:5" x14ac:dyDescent="0.2">
      <c r="A260" s="4" t="s">
        <v>625</v>
      </c>
      <c r="B260" s="4" t="s">
        <v>626</v>
      </c>
      <c r="C260" s="4" t="s">
        <v>627</v>
      </c>
      <c r="D260" s="4" t="s">
        <v>58</v>
      </c>
      <c r="E260" s="4" t="str">
        <f>MID(Timezone[[#This Row],[GMT Offset]], 5, 6) &amp; " - " &amp; Timezone[[#This Row],[Country Name]] &amp; " (" &amp;Timezone[[#This Row],[Time Zone]] &amp; ")"</f>
        <v>+01:00 - Morocco (Africa/Casablanca)</v>
      </c>
    </row>
    <row r="261" spans="1:5" x14ac:dyDescent="0.2">
      <c r="A261" s="4" t="s">
        <v>628</v>
      </c>
      <c r="B261" s="4" t="s">
        <v>629</v>
      </c>
      <c r="C261" s="4" t="s">
        <v>630</v>
      </c>
      <c r="D261" s="4" t="s">
        <v>54</v>
      </c>
      <c r="E261" s="4" t="str">
        <f>MID(Timezone[[#This Row],[GMT Offset]], 5, 6) &amp; " - " &amp; Timezone[[#This Row],[Country Name]] &amp; " (" &amp;Timezone[[#This Row],[Time Zone]] &amp; ")"</f>
        <v>+02:00 - Mozambique (Africa/Maputo)</v>
      </c>
    </row>
    <row r="262" spans="1:5" x14ac:dyDescent="0.2">
      <c r="A262" s="4" t="s">
        <v>631</v>
      </c>
      <c r="B262" s="4" t="s">
        <v>632</v>
      </c>
      <c r="C262" s="4" t="s">
        <v>633</v>
      </c>
      <c r="D262" s="4" t="s">
        <v>288</v>
      </c>
      <c r="E262" s="4" t="str">
        <f>MID(Timezone[[#This Row],[GMT Offset]], 5, 6) &amp; " - " &amp; Timezone[[#This Row],[Country Name]] &amp; " (" &amp;Timezone[[#This Row],[Time Zone]] &amp; ")"</f>
        <v>+06:30 - Myanmar (Asia/Yangon)</v>
      </c>
    </row>
    <row r="263" spans="1:5" x14ac:dyDescent="0.2">
      <c r="A263" s="4" t="s">
        <v>634</v>
      </c>
      <c r="B263" s="4" t="s">
        <v>635</v>
      </c>
      <c r="C263" s="4" t="s">
        <v>636</v>
      </c>
      <c r="D263" s="4" t="s">
        <v>54</v>
      </c>
      <c r="E263" s="4" t="str">
        <f>MID(Timezone[[#This Row],[GMT Offset]], 5, 6) &amp; " - " &amp; Timezone[[#This Row],[Country Name]] &amp; " (" &amp;Timezone[[#This Row],[Time Zone]] &amp; ")"</f>
        <v>+02:00 - Namibia (Africa/Windhoek)</v>
      </c>
    </row>
    <row r="264" spans="1:5" x14ac:dyDescent="0.2">
      <c r="A264" s="4" t="s">
        <v>637</v>
      </c>
      <c r="B264" s="4" t="s">
        <v>638</v>
      </c>
      <c r="C264" s="4" t="s">
        <v>639</v>
      </c>
      <c r="D264" s="4" t="s">
        <v>84</v>
      </c>
      <c r="E264" s="4" t="str">
        <f>MID(Timezone[[#This Row],[GMT Offset]], 5, 6) &amp; " - " &amp; Timezone[[#This Row],[Country Name]] &amp; " (" &amp;Timezone[[#This Row],[Time Zone]] &amp; ")"</f>
        <v>+12:00 - Nauru (Pacific/Nauru)</v>
      </c>
    </row>
    <row r="265" spans="1:5" x14ac:dyDescent="0.2">
      <c r="A265" s="4" t="s">
        <v>640</v>
      </c>
      <c r="B265" s="4" t="s">
        <v>641</v>
      </c>
      <c r="C265" s="4" t="s">
        <v>642</v>
      </c>
      <c r="D265" s="4" t="s">
        <v>643</v>
      </c>
      <c r="E265" s="4" t="str">
        <f>MID(Timezone[[#This Row],[GMT Offset]], 5, 6) &amp; " - " &amp; Timezone[[#This Row],[Country Name]] &amp; " (" &amp;Timezone[[#This Row],[Time Zone]] &amp; ")"</f>
        <v>+05:45 - Nepal (Asia/Kathmandu)</v>
      </c>
    </row>
    <row r="266" spans="1:5" x14ac:dyDescent="0.2">
      <c r="A266" s="4" t="s">
        <v>644</v>
      </c>
      <c r="B266" s="4" t="s">
        <v>645</v>
      </c>
      <c r="C266" s="4" t="s">
        <v>646</v>
      </c>
      <c r="D266" s="4" t="s">
        <v>54</v>
      </c>
      <c r="E266" s="4" t="str">
        <f>MID(Timezone[[#This Row],[GMT Offset]], 5, 6) &amp; " - " &amp; Timezone[[#This Row],[Country Name]] &amp; " (" &amp;Timezone[[#This Row],[Time Zone]] &amp; ")"</f>
        <v>+02:00 - Netherlands (Europe/Amsterdam)</v>
      </c>
    </row>
    <row r="267" spans="1:5" x14ac:dyDescent="0.2">
      <c r="A267" s="4" t="s">
        <v>647</v>
      </c>
      <c r="B267" s="4" t="s">
        <v>648</v>
      </c>
      <c r="C267" s="4" t="s">
        <v>649</v>
      </c>
      <c r="D267" s="4" t="s">
        <v>118</v>
      </c>
      <c r="E267" s="4" t="str">
        <f>MID(Timezone[[#This Row],[GMT Offset]], 5, 6) &amp; " - " &amp; Timezone[[#This Row],[Country Name]] &amp; " (" &amp;Timezone[[#This Row],[Time Zone]] &amp; ")"</f>
        <v>+11:00 - New Caledonia (Pacific/Noumea)</v>
      </c>
    </row>
    <row r="268" spans="1:5" x14ac:dyDescent="0.2">
      <c r="A268" s="4" t="s">
        <v>650</v>
      </c>
      <c r="B268" s="4" t="s">
        <v>35</v>
      </c>
      <c r="C268" s="4" t="s">
        <v>651</v>
      </c>
      <c r="D268" s="4" t="s">
        <v>84</v>
      </c>
      <c r="E268" s="4" t="str">
        <f>MID(Timezone[[#This Row],[GMT Offset]], 5, 6) &amp; " - " &amp; Timezone[[#This Row],[Country Name]] &amp; " (" &amp;Timezone[[#This Row],[Time Zone]] &amp; ")"</f>
        <v>+12:00 - New Zealand (Pacific/Auckland)</v>
      </c>
    </row>
    <row r="269" spans="1:5" x14ac:dyDescent="0.2">
      <c r="A269" s="4" t="s">
        <v>650</v>
      </c>
      <c r="B269" s="4" t="s">
        <v>35</v>
      </c>
      <c r="C269" s="4" t="s">
        <v>652</v>
      </c>
      <c r="D269" s="4" t="s">
        <v>653</v>
      </c>
      <c r="E269" s="4" t="str">
        <f>MID(Timezone[[#This Row],[GMT Offset]], 5, 6) &amp; " - " &amp; Timezone[[#This Row],[Country Name]] &amp; " (" &amp;Timezone[[#This Row],[Time Zone]] &amp; ")"</f>
        <v>+12:45 - New Zealand (Pacific/Chatham)</v>
      </c>
    </row>
    <row r="270" spans="1:5" x14ac:dyDescent="0.2">
      <c r="A270" s="4" t="s">
        <v>654</v>
      </c>
      <c r="B270" s="4" t="s">
        <v>655</v>
      </c>
      <c r="C270" s="4" t="s">
        <v>656</v>
      </c>
      <c r="D270" s="4" t="s">
        <v>161</v>
      </c>
      <c r="E270" s="4" t="str">
        <f>MID(Timezone[[#This Row],[GMT Offset]], 5, 6) &amp; " - " &amp; Timezone[[#This Row],[Country Name]] &amp; " (" &amp;Timezone[[#This Row],[Time Zone]] &amp; ")"</f>
        <v>-06:00 - Nicaragua (America/Managua)</v>
      </c>
    </row>
    <row r="271" spans="1:5" x14ac:dyDescent="0.2">
      <c r="A271" s="4" t="s">
        <v>657</v>
      </c>
      <c r="B271" s="4" t="s">
        <v>658</v>
      </c>
      <c r="C271" s="4" t="s">
        <v>659</v>
      </c>
      <c r="D271" s="4" t="s">
        <v>58</v>
      </c>
      <c r="E271" s="4" t="str">
        <f>MID(Timezone[[#This Row],[GMT Offset]], 5, 6) &amp; " - " &amp; Timezone[[#This Row],[Country Name]] &amp; " (" &amp;Timezone[[#This Row],[Time Zone]] &amp; ")"</f>
        <v>+01:00 - Niger (Africa/Niamey)</v>
      </c>
    </row>
    <row r="272" spans="1:5" x14ac:dyDescent="0.2">
      <c r="A272" s="4" t="s">
        <v>660</v>
      </c>
      <c r="B272" s="4" t="s">
        <v>661</v>
      </c>
      <c r="C272" s="4" t="s">
        <v>662</v>
      </c>
      <c r="D272" s="4" t="s">
        <v>58</v>
      </c>
      <c r="E272" s="4" t="str">
        <f>MID(Timezone[[#This Row],[GMT Offset]], 5, 6) &amp; " - " &amp; Timezone[[#This Row],[Country Name]] &amp; " (" &amp;Timezone[[#This Row],[Time Zone]] &amp; ")"</f>
        <v>+01:00 - Nigeria (Africa/Lagos)</v>
      </c>
    </row>
    <row r="273" spans="1:5" x14ac:dyDescent="0.2">
      <c r="A273" s="4" t="s">
        <v>663</v>
      </c>
      <c r="B273" s="4" t="s">
        <v>664</v>
      </c>
      <c r="C273" s="4" t="s">
        <v>665</v>
      </c>
      <c r="D273" s="4" t="s">
        <v>62</v>
      </c>
      <c r="E273" s="4" t="str">
        <f>MID(Timezone[[#This Row],[GMT Offset]], 5, 6) &amp; " - " &amp; Timezone[[#This Row],[Country Name]] &amp; " (" &amp;Timezone[[#This Row],[Time Zone]] &amp; ")"</f>
        <v>-11:00 - Niue (Pacific/Niue)</v>
      </c>
    </row>
    <row r="274" spans="1:5" x14ac:dyDescent="0.2">
      <c r="A274" s="4" t="s">
        <v>666</v>
      </c>
      <c r="B274" s="4" t="s">
        <v>667</v>
      </c>
      <c r="C274" s="4" t="s">
        <v>668</v>
      </c>
      <c r="D274" s="4" t="s">
        <v>118</v>
      </c>
      <c r="E274" s="4" t="str">
        <f>MID(Timezone[[#This Row],[GMT Offset]], 5, 6) &amp; " - " &amp; Timezone[[#This Row],[Country Name]] &amp; " (" &amp;Timezone[[#This Row],[Time Zone]] &amp; ")"</f>
        <v>+11:00 - Norfolk Island (Pacific/Norfolk)</v>
      </c>
    </row>
    <row r="275" spans="1:5" x14ac:dyDescent="0.2">
      <c r="A275" s="4" t="s">
        <v>669</v>
      </c>
      <c r="B275" s="4" t="s">
        <v>670</v>
      </c>
      <c r="C275" s="4" t="s">
        <v>671</v>
      </c>
      <c r="D275" s="4" t="s">
        <v>337</v>
      </c>
      <c r="E275" s="4" t="str">
        <f>MID(Timezone[[#This Row],[GMT Offset]], 5, 6) &amp; " - " &amp; Timezone[[#This Row],[Country Name]] &amp; " (" &amp;Timezone[[#This Row],[Time Zone]] &amp; ")"</f>
        <v>+09:00 - North Korea (Asia/Pyongyang)</v>
      </c>
    </row>
    <row r="276" spans="1:5" x14ac:dyDescent="0.2">
      <c r="A276" s="4" t="s">
        <v>672</v>
      </c>
      <c r="B276" s="4" t="s">
        <v>673</v>
      </c>
      <c r="C276" s="4" t="s">
        <v>674</v>
      </c>
      <c r="D276" s="4" t="s">
        <v>80</v>
      </c>
      <c r="E276" s="4" t="str">
        <f>MID(Timezone[[#This Row],[GMT Offset]], 5, 6) &amp; " - " &amp; Timezone[[#This Row],[Country Name]] &amp; " (" &amp;Timezone[[#This Row],[Time Zone]] &amp; ")"</f>
        <v>+10:00 - Northern Mariana Islands (Pacific/Saipan)</v>
      </c>
    </row>
    <row r="277" spans="1:5" x14ac:dyDescent="0.2">
      <c r="A277" s="4" t="s">
        <v>675</v>
      </c>
      <c r="B277" s="4" t="s">
        <v>676</v>
      </c>
      <c r="C277" s="4" t="s">
        <v>677</v>
      </c>
      <c r="D277" s="4" t="s">
        <v>54</v>
      </c>
      <c r="E277" s="4" t="str">
        <f>MID(Timezone[[#This Row],[GMT Offset]], 5, 6) &amp; " - " &amp; Timezone[[#This Row],[Country Name]] &amp; " (" &amp;Timezone[[#This Row],[Time Zone]] &amp; ")"</f>
        <v>+02:00 - Norway (Europe/Oslo)</v>
      </c>
    </row>
    <row r="278" spans="1:5" x14ac:dyDescent="0.2">
      <c r="A278" s="4" t="s">
        <v>678</v>
      </c>
      <c r="B278" s="4" t="s">
        <v>679</v>
      </c>
      <c r="C278" s="4" t="s">
        <v>680</v>
      </c>
      <c r="D278" s="4" t="s">
        <v>112</v>
      </c>
      <c r="E278" s="4" t="str">
        <f>MID(Timezone[[#This Row],[GMT Offset]], 5, 6) &amp; " - " &amp; Timezone[[#This Row],[Country Name]] &amp; " (" &amp;Timezone[[#This Row],[Time Zone]] &amp; ")"</f>
        <v>+04:00 - Oman (Asia/Muscat)</v>
      </c>
    </row>
    <row r="279" spans="1:5" x14ac:dyDescent="0.2">
      <c r="A279" s="4" t="s">
        <v>681</v>
      </c>
      <c r="B279" s="4" t="s">
        <v>682</v>
      </c>
      <c r="C279" s="4" t="s">
        <v>683</v>
      </c>
      <c r="D279" s="4" t="s">
        <v>82</v>
      </c>
      <c r="E279" s="4" t="str">
        <f>MID(Timezone[[#This Row],[GMT Offset]], 5, 6) &amp; " - " &amp; Timezone[[#This Row],[Country Name]] &amp; " (" &amp;Timezone[[#This Row],[Time Zone]] &amp; ")"</f>
        <v>+05:00 - Pakistan (Asia/Karachi)</v>
      </c>
    </row>
    <row r="280" spans="1:5" x14ac:dyDescent="0.2">
      <c r="A280" s="4" t="s">
        <v>684</v>
      </c>
      <c r="B280" s="4" t="s">
        <v>685</v>
      </c>
      <c r="C280" s="4" t="s">
        <v>686</v>
      </c>
      <c r="D280" s="4" t="s">
        <v>337</v>
      </c>
      <c r="E280" s="4" t="str">
        <f>MID(Timezone[[#This Row],[GMT Offset]], 5, 6) &amp; " - " &amp; Timezone[[#This Row],[Country Name]] &amp; " (" &amp;Timezone[[#This Row],[Time Zone]] &amp; ")"</f>
        <v>+09:00 - Palau (Pacific/Palau)</v>
      </c>
    </row>
    <row r="281" spans="1:5" x14ac:dyDescent="0.2">
      <c r="A281" s="4" t="s">
        <v>687</v>
      </c>
      <c r="B281" s="4" t="s">
        <v>688</v>
      </c>
      <c r="C281" s="4" t="s">
        <v>689</v>
      </c>
      <c r="D281" s="4" t="s">
        <v>50</v>
      </c>
      <c r="E281" s="4" t="str">
        <f>MID(Timezone[[#This Row],[GMT Offset]], 5, 6) &amp; " - " &amp; Timezone[[#This Row],[Country Name]] &amp; " (" &amp;Timezone[[#This Row],[Time Zone]] &amp; ")"</f>
        <v>+03:00 - Palestinian Territory (Asia/Gaza)</v>
      </c>
    </row>
    <row r="282" spans="1:5" x14ac:dyDescent="0.2">
      <c r="A282" s="4" t="s">
        <v>687</v>
      </c>
      <c r="B282" s="4" t="s">
        <v>688</v>
      </c>
      <c r="C282" s="4" t="s">
        <v>690</v>
      </c>
      <c r="D282" s="4" t="s">
        <v>50</v>
      </c>
      <c r="E282" s="4" t="str">
        <f>MID(Timezone[[#This Row],[GMT Offset]], 5, 6) &amp; " - " &amp; Timezone[[#This Row],[Country Name]] &amp; " (" &amp;Timezone[[#This Row],[Time Zone]] &amp; ")"</f>
        <v>+03:00 - Palestinian Territory (Asia/Hebron)</v>
      </c>
    </row>
    <row r="283" spans="1:5" x14ac:dyDescent="0.2">
      <c r="A283" s="4" t="s">
        <v>691</v>
      </c>
      <c r="B283" s="4" t="s">
        <v>692</v>
      </c>
      <c r="C283" s="4" t="s">
        <v>693</v>
      </c>
      <c r="D283" s="4" t="s">
        <v>192</v>
      </c>
      <c r="E283" s="4" t="str">
        <f>MID(Timezone[[#This Row],[GMT Offset]], 5, 6) &amp; " - " &amp; Timezone[[#This Row],[Country Name]] &amp; " (" &amp;Timezone[[#This Row],[Time Zone]] &amp; ")"</f>
        <v>-05:00 - Panama (America/Panama)</v>
      </c>
    </row>
    <row r="284" spans="1:5" x14ac:dyDescent="0.2">
      <c r="A284" s="4" t="s">
        <v>694</v>
      </c>
      <c r="B284" s="4" t="s">
        <v>695</v>
      </c>
      <c r="C284" s="4" t="s">
        <v>696</v>
      </c>
      <c r="D284" s="4" t="s">
        <v>118</v>
      </c>
      <c r="E284" s="4" t="str">
        <f>MID(Timezone[[#This Row],[GMT Offset]], 5, 6) &amp; " - " &amp; Timezone[[#This Row],[Country Name]] &amp; " (" &amp;Timezone[[#This Row],[Time Zone]] &amp; ")"</f>
        <v>+11:00 - Papua New Guinea (Pacific/Bougainville)</v>
      </c>
    </row>
    <row r="285" spans="1:5" x14ac:dyDescent="0.2">
      <c r="A285" s="4" t="s">
        <v>694</v>
      </c>
      <c r="B285" s="4" t="s">
        <v>695</v>
      </c>
      <c r="C285" s="4" t="s">
        <v>697</v>
      </c>
      <c r="D285" s="4" t="s">
        <v>80</v>
      </c>
      <c r="E285" s="4" t="str">
        <f>MID(Timezone[[#This Row],[GMT Offset]], 5, 6) &amp; " - " &amp; Timezone[[#This Row],[Country Name]] &amp; " (" &amp;Timezone[[#This Row],[Time Zone]] &amp; ")"</f>
        <v>+10:00 - Papua New Guinea (Pacific/Port_Moresby)</v>
      </c>
    </row>
    <row r="286" spans="1:5" x14ac:dyDescent="0.2">
      <c r="A286" s="4" t="s">
        <v>698</v>
      </c>
      <c r="B286" s="4" t="s">
        <v>699</v>
      </c>
      <c r="C286" s="4" t="s">
        <v>700</v>
      </c>
      <c r="D286" s="4" t="s">
        <v>72</v>
      </c>
      <c r="E286" s="4" t="str">
        <f>MID(Timezone[[#This Row],[GMT Offset]], 5, 6) &amp; " - " &amp; Timezone[[#This Row],[Country Name]] &amp; " (" &amp;Timezone[[#This Row],[Time Zone]] &amp; ")"</f>
        <v>-04:00 - Paraguay (America/Asuncion)</v>
      </c>
    </row>
    <row r="287" spans="1:5" x14ac:dyDescent="0.2">
      <c r="A287" s="4" t="s">
        <v>701</v>
      </c>
      <c r="B287" s="4" t="s">
        <v>702</v>
      </c>
      <c r="C287" s="4" t="s">
        <v>703</v>
      </c>
      <c r="D287" s="4" t="s">
        <v>192</v>
      </c>
      <c r="E287" s="4" t="str">
        <f>MID(Timezone[[#This Row],[GMT Offset]], 5, 6) &amp; " - " &amp; Timezone[[#This Row],[Country Name]] &amp; " (" &amp;Timezone[[#This Row],[Time Zone]] &amp; ")"</f>
        <v>-05:00 - Peru (America/Lima)</v>
      </c>
    </row>
    <row r="288" spans="1:5" x14ac:dyDescent="0.2">
      <c r="A288" s="4" t="s">
        <v>704</v>
      </c>
      <c r="B288" s="4" t="s">
        <v>705</v>
      </c>
      <c r="C288" s="4" t="s">
        <v>706</v>
      </c>
      <c r="D288" s="4" t="s">
        <v>76</v>
      </c>
      <c r="E288" s="4" t="str">
        <f>MID(Timezone[[#This Row],[GMT Offset]], 5, 6) &amp; " - " &amp; Timezone[[#This Row],[Country Name]] &amp; " (" &amp;Timezone[[#This Row],[Time Zone]] &amp; ")"</f>
        <v>+08:00 - Philippines (Asia/Manila)</v>
      </c>
    </row>
    <row r="289" spans="1:5" x14ac:dyDescent="0.2">
      <c r="A289" s="4" t="s">
        <v>707</v>
      </c>
      <c r="B289" s="4" t="s">
        <v>708</v>
      </c>
      <c r="C289" s="4" t="s">
        <v>709</v>
      </c>
      <c r="D289" s="4" t="s">
        <v>710</v>
      </c>
      <c r="E289" s="4" t="str">
        <f>MID(Timezone[[#This Row],[GMT Offset]], 5, 6) &amp; " - " &amp; Timezone[[#This Row],[Country Name]] &amp; " (" &amp;Timezone[[#This Row],[Time Zone]] &amp; ")"</f>
        <v>-08:00 - Pitcairn (Pacific/Pitcairn)</v>
      </c>
    </row>
    <row r="290" spans="1:5" x14ac:dyDescent="0.2">
      <c r="A290" s="4" t="s">
        <v>711</v>
      </c>
      <c r="B290" s="4" t="s">
        <v>712</v>
      </c>
      <c r="C290" s="4" t="s">
        <v>713</v>
      </c>
      <c r="D290" s="4" t="s">
        <v>54</v>
      </c>
      <c r="E290" s="4" t="str">
        <f>MID(Timezone[[#This Row],[GMT Offset]], 5, 6) &amp; " - " &amp; Timezone[[#This Row],[Country Name]] &amp; " (" &amp;Timezone[[#This Row],[Time Zone]] &amp; ")"</f>
        <v>+02:00 - Poland (Europe/Warsaw)</v>
      </c>
    </row>
    <row r="291" spans="1:5" x14ac:dyDescent="0.2">
      <c r="A291" s="4" t="s">
        <v>714</v>
      </c>
      <c r="B291" s="4" t="s">
        <v>715</v>
      </c>
      <c r="C291" s="4" t="s">
        <v>716</v>
      </c>
      <c r="D291" s="4" t="s">
        <v>995</v>
      </c>
      <c r="E291" s="4" t="str">
        <f>MID(Timezone[[#This Row],[GMT Offset]], 5, 6) &amp; " - " &amp; Timezone[[#This Row],[Country Name]] &amp; " (" &amp;Timezone[[#This Row],[Time Zone]] &amp; ")"</f>
        <v>+00:00 - Portugal (Atlantic/Azores)</v>
      </c>
    </row>
    <row r="292" spans="1:5" x14ac:dyDescent="0.2">
      <c r="A292" s="4" t="s">
        <v>714</v>
      </c>
      <c r="B292" s="4" t="s">
        <v>715</v>
      </c>
      <c r="C292" s="4" t="s">
        <v>717</v>
      </c>
      <c r="D292" s="4" t="s">
        <v>58</v>
      </c>
      <c r="E292" s="4" t="str">
        <f>MID(Timezone[[#This Row],[GMT Offset]], 5, 6) &amp; " - " &amp; Timezone[[#This Row],[Country Name]] &amp; " (" &amp;Timezone[[#This Row],[Time Zone]] &amp; ")"</f>
        <v>+01:00 - Portugal (Atlantic/Madeira)</v>
      </c>
    </row>
    <row r="293" spans="1:5" x14ac:dyDescent="0.2">
      <c r="A293" s="4" t="s">
        <v>714</v>
      </c>
      <c r="B293" s="4" t="s">
        <v>715</v>
      </c>
      <c r="C293" s="4" t="s">
        <v>718</v>
      </c>
      <c r="D293" s="4" t="s">
        <v>58</v>
      </c>
      <c r="E293" s="4" t="str">
        <f>MID(Timezone[[#This Row],[GMT Offset]], 5, 6) &amp; " - " &amp; Timezone[[#This Row],[Country Name]] &amp; " (" &amp;Timezone[[#This Row],[Time Zone]] &amp; ")"</f>
        <v>+01:00 - Portugal (Europe/Lisbon)</v>
      </c>
    </row>
    <row r="294" spans="1:5" x14ac:dyDescent="0.2">
      <c r="A294" s="4" t="s">
        <v>719</v>
      </c>
      <c r="B294" s="4" t="s">
        <v>720</v>
      </c>
      <c r="C294" s="4" t="s">
        <v>721</v>
      </c>
      <c r="D294" s="4" t="s">
        <v>72</v>
      </c>
      <c r="E294" s="4" t="str">
        <f>MID(Timezone[[#This Row],[GMT Offset]], 5, 6) &amp; " - " &amp; Timezone[[#This Row],[Country Name]] &amp; " (" &amp;Timezone[[#This Row],[Time Zone]] &amp; ")"</f>
        <v>-04:00 - Puerto Rico (America/Puerto_Rico)</v>
      </c>
    </row>
    <row r="295" spans="1:5" x14ac:dyDescent="0.2">
      <c r="A295" s="4" t="s">
        <v>722</v>
      </c>
      <c r="B295" s="4" t="s">
        <v>723</v>
      </c>
      <c r="C295" s="4" t="s">
        <v>724</v>
      </c>
      <c r="D295" s="4" t="s">
        <v>50</v>
      </c>
      <c r="E295" s="4" t="str">
        <f>MID(Timezone[[#This Row],[GMT Offset]], 5, 6) &amp; " - " &amp; Timezone[[#This Row],[Country Name]] &amp; " (" &amp;Timezone[[#This Row],[Time Zone]] &amp; ")"</f>
        <v>+03:00 - Qatar (Asia/Qatar)</v>
      </c>
    </row>
    <row r="296" spans="1:5" x14ac:dyDescent="0.2">
      <c r="A296" s="4" t="s">
        <v>725</v>
      </c>
      <c r="B296" s="4" t="s">
        <v>726</v>
      </c>
      <c r="C296" s="4" t="s">
        <v>727</v>
      </c>
      <c r="D296" s="4" t="s">
        <v>58</v>
      </c>
      <c r="E296" s="4" t="str">
        <f>MID(Timezone[[#This Row],[GMT Offset]], 5, 6) &amp; " - " &amp; Timezone[[#This Row],[Country Name]] &amp; " (" &amp;Timezone[[#This Row],[Time Zone]] &amp; ")"</f>
        <v>+01:00 - Republic of the Congo (Africa/Brazzaville)</v>
      </c>
    </row>
    <row r="297" spans="1:5" x14ac:dyDescent="0.2">
      <c r="A297" s="4" t="s">
        <v>728</v>
      </c>
      <c r="B297" s="4" t="s">
        <v>729</v>
      </c>
      <c r="C297" s="4" t="s">
        <v>730</v>
      </c>
      <c r="D297" s="4" t="s">
        <v>112</v>
      </c>
      <c r="E297" s="4" t="str">
        <f>MID(Timezone[[#This Row],[GMT Offset]], 5, 6) &amp; " - " &amp; Timezone[[#This Row],[Country Name]] &amp; " (" &amp;Timezone[[#This Row],[Time Zone]] &amp; ")"</f>
        <v>+04:00 - Reunion (Indian/Reunion)</v>
      </c>
    </row>
    <row r="298" spans="1:5" x14ac:dyDescent="0.2">
      <c r="A298" s="4" t="s">
        <v>731</v>
      </c>
      <c r="B298" s="4" t="s">
        <v>732</v>
      </c>
      <c r="C298" s="4" t="s">
        <v>733</v>
      </c>
      <c r="D298" s="4" t="s">
        <v>50</v>
      </c>
      <c r="E298" s="4" t="str">
        <f>MID(Timezone[[#This Row],[GMT Offset]], 5, 6) &amp; " - " &amp; Timezone[[#This Row],[Country Name]] &amp; " (" &amp;Timezone[[#This Row],[Time Zone]] &amp; ")"</f>
        <v>+03:00 - Romania (Europe/Bucharest)</v>
      </c>
    </row>
    <row r="299" spans="1:5" x14ac:dyDescent="0.2">
      <c r="A299" s="4" t="s">
        <v>734</v>
      </c>
      <c r="B299" s="4" t="s">
        <v>735</v>
      </c>
      <c r="C299" s="4" t="s">
        <v>736</v>
      </c>
      <c r="D299" s="4" t="s">
        <v>84</v>
      </c>
      <c r="E299" s="4" t="str">
        <f>MID(Timezone[[#This Row],[GMT Offset]], 5, 6) &amp; " - " &amp; Timezone[[#This Row],[Country Name]] &amp; " (" &amp;Timezone[[#This Row],[Time Zone]] &amp; ")"</f>
        <v>+12:00 - Russia (Asia/Anadyr)</v>
      </c>
    </row>
    <row r="300" spans="1:5" x14ac:dyDescent="0.2">
      <c r="A300" s="4" t="s">
        <v>734</v>
      </c>
      <c r="B300" s="4" t="s">
        <v>735</v>
      </c>
      <c r="C300" s="4" t="s">
        <v>737</v>
      </c>
      <c r="D300" s="4" t="s">
        <v>78</v>
      </c>
      <c r="E300" s="4" t="str">
        <f>MID(Timezone[[#This Row],[GMT Offset]], 5, 6) &amp; " - " &amp; Timezone[[#This Row],[Country Name]] &amp; " (" &amp;Timezone[[#This Row],[Time Zone]] &amp; ")"</f>
        <v>+07:00 - Russia (Asia/Barnaul)</v>
      </c>
    </row>
    <row r="301" spans="1:5" x14ac:dyDescent="0.2">
      <c r="A301" s="4" t="s">
        <v>734</v>
      </c>
      <c r="B301" s="4" t="s">
        <v>735</v>
      </c>
      <c r="C301" s="4" t="s">
        <v>738</v>
      </c>
      <c r="D301" s="4" t="s">
        <v>337</v>
      </c>
      <c r="E301" s="4" t="str">
        <f>MID(Timezone[[#This Row],[GMT Offset]], 5, 6) &amp; " - " &amp; Timezone[[#This Row],[Country Name]] &amp; " (" &amp;Timezone[[#This Row],[Time Zone]] &amp; ")"</f>
        <v>+09:00 - Russia (Asia/Chita)</v>
      </c>
    </row>
    <row r="302" spans="1:5" x14ac:dyDescent="0.2">
      <c r="A302" s="4" t="s">
        <v>734</v>
      </c>
      <c r="B302" s="4" t="s">
        <v>735</v>
      </c>
      <c r="C302" s="4" t="s">
        <v>739</v>
      </c>
      <c r="D302" s="4" t="s">
        <v>76</v>
      </c>
      <c r="E302" s="4" t="str">
        <f>MID(Timezone[[#This Row],[GMT Offset]], 5, 6) &amp; " - " &amp; Timezone[[#This Row],[Country Name]] &amp; " (" &amp;Timezone[[#This Row],[Time Zone]] &amp; ")"</f>
        <v>+08:00 - Russia (Asia/Irkutsk)</v>
      </c>
    </row>
    <row r="303" spans="1:5" x14ac:dyDescent="0.2">
      <c r="A303" s="4" t="s">
        <v>734</v>
      </c>
      <c r="B303" s="4" t="s">
        <v>735</v>
      </c>
      <c r="C303" s="4" t="s">
        <v>740</v>
      </c>
      <c r="D303" s="4" t="s">
        <v>84</v>
      </c>
      <c r="E303" s="4" t="str">
        <f>MID(Timezone[[#This Row],[GMT Offset]], 5, 6) &amp; " - " &amp; Timezone[[#This Row],[Country Name]] &amp; " (" &amp;Timezone[[#This Row],[Time Zone]] &amp; ")"</f>
        <v>+12:00 - Russia (Asia/Kamchatka)</v>
      </c>
    </row>
    <row r="304" spans="1:5" x14ac:dyDescent="0.2">
      <c r="A304" s="4" t="s">
        <v>734</v>
      </c>
      <c r="B304" s="4" t="s">
        <v>735</v>
      </c>
      <c r="C304" s="4" t="s">
        <v>741</v>
      </c>
      <c r="D304" s="4" t="s">
        <v>337</v>
      </c>
      <c r="E304" s="4" t="str">
        <f>MID(Timezone[[#This Row],[GMT Offset]], 5, 6) &amp; " - " &amp; Timezone[[#This Row],[Country Name]] &amp; " (" &amp;Timezone[[#This Row],[Time Zone]] &amp; ")"</f>
        <v>+09:00 - Russia (Asia/Khandyga)</v>
      </c>
    </row>
    <row r="305" spans="1:5" x14ac:dyDescent="0.2">
      <c r="A305" s="4" t="s">
        <v>734</v>
      </c>
      <c r="B305" s="4" t="s">
        <v>735</v>
      </c>
      <c r="C305" s="4" t="s">
        <v>742</v>
      </c>
      <c r="D305" s="4" t="s">
        <v>78</v>
      </c>
      <c r="E305" s="4" t="str">
        <f>MID(Timezone[[#This Row],[GMT Offset]], 5, 6) &amp; " - " &amp; Timezone[[#This Row],[Country Name]] &amp; " (" &amp;Timezone[[#This Row],[Time Zone]] &amp; ")"</f>
        <v>+07:00 - Russia (Asia/Krasnoyarsk)</v>
      </c>
    </row>
    <row r="306" spans="1:5" x14ac:dyDescent="0.2">
      <c r="A306" s="4" t="s">
        <v>734</v>
      </c>
      <c r="B306" s="4" t="s">
        <v>735</v>
      </c>
      <c r="C306" s="4" t="s">
        <v>743</v>
      </c>
      <c r="D306" s="4" t="s">
        <v>118</v>
      </c>
      <c r="E306" s="4" t="str">
        <f>MID(Timezone[[#This Row],[GMT Offset]], 5, 6) &amp; " - " &amp; Timezone[[#This Row],[Country Name]] &amp; " (" &amp;Timezone[[#This Row],[Time Zone]] &amp; ")"</f>
        <v>+11:00 - Russia (Asia/Magadan)</v>
      </c>
    </row>
    <row r="307" spans="1:5" x14ac:dyDescent="0.2">
      <c r="A307" s="4" t="s">
        <v>734</v>
      </c>
      <c r="B307" s="4" t="s">
        <v>735</v>
      </c>
      <c r="C307" s="4" t="s">
        <v>744</v>
      </c>
      <c r="D307" s="4" t="s">
        <v>78</v>
      </c>
      <c r="E307" s="4" t="str">
        <f>MID(Timezone[[#This Row],[GMT Offset]], 5, 6) &amp; " - " &amp; Timezone[[#This Row],[Country Name]] &amp; " (" &amp;Timezone[[#This Row],[Time Zone]] &amp; ")"</f>
        <v>+07:00 - Russia (Asia/Novokuznetsk)</v>
      </c>
    </row>
    <row r="308" spans="1:5" x14ac:dyDescent="0.2">
      <c r="A308" s="4" t="s">
        <v>734</v>
      </c>
      <c r="B308" s="4" t="s">
        <v>735</v>
      </c>
      <c r="C308" s="4" t="s">
        <v>745</v>
      </c>
      <c r="D308" s="4" t="s">
        <v>78</v>
      </c>
      <c r="E308" s="4" t="str">
        <f>MID(Timezone[[#This Row],[GMT Offset]], 5, 6) &amp; " - " &amp; Timezone[[#This Row],[Country Name]] &amp; " (" &amp;Timezone[[#This Row],[Time Zone]] &amp; ")"</f>
        <v>+07:00 - Russia (Asia/Novosibirsk)</v>
      </c>
    </row>
    <row r="309" spans="1:5" x14ac:dyDescent="0.2">
      <c r="A309" s="4" t="s">
        <v>734</v>
      </c>
      <c r="B309" s="4" t="s">
        <v>735</v>
      </c>
      <c r="C309" s="4" t="s">
        <v>746</v>
      </c>
      <c r="D309" s="4" t="s">
        <v>91</v>
      </c>
      <c r="E309" s="4" t="str">
        <f>MID(Timezone[[#This Row],[GMT Offset]], 5, 6) &amp; " - " &amp; Timezone[[#This Row],[Country Name]] &amp; " (" &amp;Timezone[[#This Row],[Time Zone]] &amp; ")"</f>
        <v>+06:00 - Russia (Asia/Omsk)</v>
      </c>
    </row>
    <row r="310" spans="1:5" x14ac:dyDescent="0.2">
      <c r="A310" s="4" t="s">
        <v>734</v>
      </c>
      <c r="B310" s="4" t="s">
        <v>735</v>
      </c>
      <c r="C310" s="4" t="s">
        <v>747</v>
      </c>
      <c r="D310" s="4" t="s">
        <v>118</v>
      </c>
      <c r="E310" s="4" t="str">
        <f>MID(Timezone[[#This Row],[GMT Offset]], 5, 6) &amp; " - " &amp; Timezone[[#This Row],[Country Name]] &amp; " (" &amp;Timezone[[#This Row],[Time Zone]] &amp; ")"</f>
        <v>+11:00 - Russia (Asia/Sakhalin)</v>
      </c>
    </row>
    <row r="311" spans="1:5" x14ac:dyDescent="0.2">
      <c r="A311" s="4" t="s">
        <v>734</v>
      </c>
      <c r="B311" s="4" t="s">
        <v>735</v>
      </c>
      <c r="C311" s="4" t="s">
        <v>748</v>
      </c>
      <c r="D311" s="4" t="s">
        <v>118</v>
      </c>
      <c r="E311" s="4" t="str">
        <f>MID(Timezone[[#This Row],[GMT Offset]], 5, 6) &amp; " - " &amp; Timezone[[#This Row],[Country Name]] &amp; " (" &amp;Timezone[[#This Row],[Time Zone]] &amp; ")"</f>
        <v>+11:00 - Russia (Asia/Srednekolymsk)</v>
      </c>
    </row>
    <row r="312" spans="1:5" x14ac:dyDescent="0.2">
      <c r="A312" s="4" t="s">
        <v>734</v>
      </c>
      <c r="B312" s="4" t="s">
        <v>735</v>
      </c>
      <c r="C312" s="4" t="s">
        <v>749</v>
      </c>
      <c r="D312" s="4" t="s">
        <v>78</v>
      </c>
      <c r="E312" s="4" t="str">
        <f>MID(Timezone[[#This Row],[GMT Offset]], 5, 6) &amp; " - " &amp; Timezone[[#This Row],[Country Name]] &amp; " (" &amp;Timezone[[#This Row],[Time Zone]] &amp; ")"</f>
        <v>+07:00 - Russia (Asia/Tomsk)</v>
      </c>
    </row>
    <row r="313" spans="1:5" x14ac:dyDescent="0.2">
      <c r="A313" s="4" t="s">
        <v>734</v>
      </c>
      <c r="B313" s="4" t="s">
        <v>735</v>
      </c>
      <c r="C313" s="4" t="s">
        <v>750</v>
      </c>
      <c r="D313" s="4" t="s">
        <v>80</v>
      </c>
      <c r="E313" s="4" t="str">
        <f>MID(Timezone[[#This Row],[GMT Offset]], 5, 6) &amp; " - " &amp; Timezone[[#This Row],[Country Name]] &amp; " (" &amp;Timezone[[#This Row],[Time Zone]] &amp; ")"</f>
        <v>+10:00 - Russia (Asia/Ust-Nera)</v>
      </c>
    </row>
    <row r="314" spans="1:5" x14ac:dyDescent="0.2">
      <c r="A314" s="4" t="s">
        <v>734</v>
      </c>
      <c r="B314" s="4" t="s">
        <v>735</v>
      </c>
      <c r="C314" s="4" t="s">
        <v>751</v>
      </c>
      <c r="D314" s="4" t="s">
        <v>80</v>
      </c>
      <c r="E314" s="4" t="str">
        <f>MID(Timezone[[#This Row],[GMT Offset]], 5, 6) &amp; " - " &amp; Timezone[[#This Row],[Country Name]] &amp; " (" &amp;Timezone[[#This Row],[Time Zone]] &amp; ")"</f>
        <v>+10:00 - Russia (Asia/Vladivostok)</v>
      </c>
    </row>
    <row r="315" spans="1:5" x14ac:dyDescent="0.2">
      <c r="A315" s="4" t="s">
        <v>734</v>
      </c>
      <c r="B315" s="4" t="s">
        <v>735</v>
      </c>
      <c r="C315" s="4" t="s">
        <v>752</v>
      </c>
      <c r="D315" s="4" t="s">
        <v>337</v>
      </c>
      <c r="E315" s="4" t="str">
        <f>MID(Timezone[[#This Row],[GMT Offset]], 5, 6) &amp; " - " &amp; Timezone[[#This Row],[Country Name]] &amp; " (" &amp;Timezone[[#This Row],[Time Zone]] &amp; ")"</f>
        <v>+09:00 - Russia (Asia/Yakutsk)</v>
      </c>
    </row>
    <row r="316" spans="1:5" x14ac:dyDescent="0.2">
      <c r="A316" s="4" t="s">
        <v>734</v>
      </c>
      <c r="B316" s="4" t="s">
        <v>735</v>
      </c>
      <c r="C316" s="4" t="s">
        <v>753</v>
      </c>
      <c r="D316" s="4" t="s">
        <v>82</v>
      </c>
      <c r="E316" s="4" t="str">
        <f>MID(Timezone[[#This Row],[GMT Offset]], 5, 6) &amp; " - " &amp; Timezone[[#This Row],[Country Name]] &amp; " (" &amp;Timezone[[#This Row],[Time Zone]] &amp; ")"</f>
        <v>+05:00 - Russia (Asia/Yekaterinburg)</v>
      </c>
    </row>
    <row r="317" spans="1:5" x14ac:dyDescent="0.2">
      <c r="A317" s="4" t="s">
        <v>734</v>
      </c>
      <c r="B317" s="4" t="s">
        <v>735</v>
      </c>
      <c r="C317" s="4" t="s">
        <v>754</v>
      </c>
      <c r="D317" s="4" t="s">
        <v>112</v>
      </c>
      <c r="E317" s="4" t="str">
        <f>MID(Timezone[[#This Row],[GMT Offset]], 5, 6) &amp; " - " &amp; Timezone[[#This Row],[Country Name]] &amp; " (" &amp;Timezone[[#This Row],[Time Zone]] &amp; ")"</f>
        <v>+04:00 - Russia (Europe/Astrakhan)</v>
      </c>
    </row>
    <row r="318" spans="1:5" x14ac:dyDescent="0.2">
      <c r="A318" s="4" t="s">
        <v>734</v>
      </c>
      <c r="B318" s="4" t="s">
        <v>735</v>
      </c>
      <c r="C318" s="4" t="s">
        <v>755</v>
      </c>
      <c r="D318" s="4" t="s">
        <v>54</v>
      </c>
      <c r="E318" s="4" t="str">
        <f>MID(Timezone[[#This Row],[GMT Offset]], 5, 6) &amp; " - " &amp; Timezone[[#This Row],[Country Name]] &amp; " (" &amp;Timezone[[#This Row],[Time Zone]] &amp; ")"</f>
        <v>+02:00 - Russia (Europe/Kaliningrad)</v>
      </c>
    </row>
    <row r="319" spans="1:5" x14ac:dyDescent="0.2">
      <c r="A319" s="4" t="s">
        <v>734</v>
      </c>
      <c r="B319" s="4" t="s">
        <v>735</v>
      </c>
      <c r="C319" s="4" t="s">
        <v>756</v>
      </c>
      <c r="D319" s="4" t="s">
        <v>50</v>
      </c>
      <c r="E319" s="4" t="str">
        <f>MID(Timezone[[#This Row],[GMT Offset]], 5, 6) &amp; " - " &amp; Timezone[[#This Row],[Country Name]] &amp; " (" &amp;Timezone[[#This Row],[Time Zone]] &amp; ")"</f>
        <v>+03:00 - Russia (Europe/Kirov)</v>
      </c>
    </row>
    <row r="320" spans="1:5" x14ac:dyDescent="0.2">
      <c r="A320" s="4" t="s">
        <v>734</v>
      </c>
      <c r="B320" s="4" t="s">
        <v>735</v>
      </c>
      <c r="C320" s="4" t="s">
        <v>757</v>
      </c>
      <c r="D320" s="4" t="s">
        <v>50</v>
      </c>
      <c r="E320" s="4" t="str">
        <f>MID(Timezone[[#This Row],[GMT Offset]], 5, 6) &amp; " - " &amp; Timezone[[#This Row],[Country Name]] &amp; " (" &amp;Timezone[[#This Row],[Time Zone]] &amp; ")"</f>
        <v>+03:00 - Russia (Europe/Moscow)</v>
      </c>
    </row>
    <row r="321" spans="1:5" x14ac:dyDescent="0.2">
      <c r="A321" s="4" t="s">
        <v>734</v>
      </c>
      <c r="B321" s="4" t="s">
        <v>735</v>
      </c>
      <c r="C321" s="4" t="s">
        <v>758</v>
      </c>
      <c r="D321" s="4" t="s">
        <v>112</v>
      </c>
      <c r="E321" s="4" t="str">
        <f>MID(Timezone[[#This Row],[GMT Offset]], 5, 6) &amp; " - " &amp; Timezone[[#This Row],[Country Name]] &amp; " (" &amp;Timezone[[#This Row],[Time Zone]] &amp; ")"</f>
        <v>+04:00 - Russia (Europe/Samara)</v>
      </c>
    </row>
    <row r="322" spans="1:5" x14ac:dyDescent="0.2">
      <c r="A322" s="4" t="s">
        <v>734</v>
      </c>
      <c r="B322" s="4" t="s">
        <v>735</v>
      </c>
      <c r="C322" s="4" t="s">
        <v>759</v>
      </c>
      <c r="D322" s="4" t="s">
        <v>112</v>
      </c>
      <c r="E322" s="4" t="str">
        <f>MID(Timezone[[#This Row],[GMT Offset]], 5, 6) &amp; " - " &amp; Timezone[[#This Row],[Country Name]] &amp; " (" &amp;Timezone[[#This Row],[Time Zone]] &amp; ")"</f>
        <v>+04:00 - Russia (Europe/Saratov)</v>
      </c>
    </row>
    <row r="323" spans="1:5" x14ac:dyDescent="0.2">
      <c r="A323" s="4" t="s">
        <v>734</v>
      </c>
      <c r="B323" s="4" t="s">
        <v>735</v>
      </c>
      <c r="C323" s="4" t="s">
        <v>760</v>
      </c>
      <c r="D323" s="4" t="s">
        <v>50</v>
      </c>
      <c r="E323" s="4" t="str">
        <f>MID(Timezone[[#This Row],[GMT Offset]], 5, 6) &amp; " - " &amp; Timezone[[#This Row],[Country Name]] &amp; " (" &amp;Timezone[[#This Row],[Time Zone]] &amp; ")"</f>
        <v>+03:00 - Russia (Europe/Simferopol)</v>
      </c>
    </row>
    <row r="324" spans="1:5" x14ac:dyDescent="0.2">
      <c r="A324" s="4" t="s">
        <v>734</v>
      </c>
      <c r="B324" s="4" t="s">
        <v>735</v>
      </c>
      <c r="C324" s="4" t="s">
        <v>761</v>
      </c>
      <c r="D324" s="4" t="s">
        <v>112</v>
      </c>
      <c r="E324" s="4" t="str">
        <f>MID(Timezone[[#This Row],[GMT Offset]], 5, 6) &amp; " - " &amp; Timezone[[#This Row],[Country Name]] &amp; " (" &amp;Timezone[[#This Row],[Time Zone]] &amp; ")"</f>
        <v>+04:00 - Russia (Europe/Ulyanovsk)</v>
      </c>
    </row>
    <row r="325" spans="1:5" x14ac:dyDescent="0.2">
      <c r="A325" s="4" t="s">
        <v>734</v>
      </c>
      <c r="B325" s="4" t="s">
        <v>735</v>
      </c>
      <c r="C325" s="4" t="s">
        <v>762</v>
      </c>
      <c r="D325" s="4" t="s">
        <v>50</v>
      </c>
      <c r="E325" s="4" t="str">
        <f>MID(Timezone[[#This Row],[GMT Offset]], 5, 6) &amp; " - " &amp; Timezone[[#This Row],[Country Name]] &amp; " (" &amp;Timezone[[#This Row],[Time Zone]] &amp; ")"</f>
        <v>+03:00 - Russia (Europe/Volgograd)</v>
      </c>
    </row>
    <row r="326" spans="1:5" x14ac:dyDescent="0.2">
      <c r="A326" s="4" t="s">
        <v>763</v>
      </c>
      <c r="B326" s="4" t="s">
        <v>764</v>
      </c>
      <c r="C326" s="4" t="s">
        <v>765</v>
      </c>
      <c r="D326" s="4" t="s">
        <v>54</v>
      </c>
      <c r="E326" s="4" t="str">
        <f>MID(Timezone[[#This Row],[GMT Offset]], 5, 6) &amp; " - " &amp; Timezone[[#This Row],[Country Name]] &amp; " (" &amp;Timezone[[#This Row],[Time Zone]] &amp; ")"</f>
        <v>+02:00 - Rwanda (Africa/Kigali)</v>
      </c>
    </row>
    <row r="327" spans="1:5" x14ac:dyDescent="0.2">
      <c r="A327" s="4" t="s">
        <v>766</v>
      </c>
      <c r="B327" s="4" t="s">
        <v>767</v>
      </c>
      <c r="C327" s="4" t="s">
        <v>768</v>
      </c>
      <c r="D327" s="4" t="s">
        <v>72</v>
      </c>
      <c r="E327" s="4" t="str">
        <f>MID(Timezone[[#This Row],[GMT Offset]], 5, 6) &amp; " - " &amp; Timezone[[#This Row],[Country Name]] &amp; " (" &amp;Timezone[[#This Row],[Time Zone]] &amp; ")"</f>
        <v>-04:00 - Saint Barthélemy (America/St_Barthelemy)</v>
      </c>
    </row>
    <row r="328" spans="1:5" x14ac:dyDescent="0.2">
      <c r="A328" s="4" t="s">
        <v>769</v>
      </c>
      <c r="B328" s="4" t="s">
        <v>770</v>
      </c>
      <c r="C328" s="4" t="s">
        <v>771</v>
      </c>
      <c r="D328" s="4" t="s">
        <v>995</v>
      </c>
      <c r="E328" s="4" t="str">
        <f>MID(Timezone[[#This Row],[GMT Offset]], 5, 6) &amp; " - " &amp; Timezone[[#This Row],[Country Name]] &amp; " (" &amp;Timezone[[#This Row],[Time Zone]] &amp; ")"</f>
        <v>+00:00 - Saint Helena (Atlantic/St_Helena)</v>
      </c>
    </row>
    <row r="329" spans="1:5" x14ac:dyDescent="0.2">
      <c r="A329" s="4" t="s">
        <v>772</v>
      </c>
      <c r="B329" s="4" t="s">
        <v>773</v>
      </c>
      <c r="C329" s="4" t="s">
        <v>774</v>
      </c>
      <c r="D329" s="4" t="s">
        <v>72</v>
      </c>
      <c r="E329" s="4" t="str">
        <f>MID(Timezone[[#This Row],[GMT Offset]], 5, 6) &amp; " - " &amp; Timezone[[#This Row],[Country Name]] &amp; " (" &amp;Timezone[[#This Row],[Time Zone]] &amp; ")"</f>
        <v>-04:00 - Saint Kitts and Nevis (America/St_Kitts)</v>
      </c>
    </row>
    <row r="330" spans="1:5" x14ac:dyDescent="0.2">
      <c r="A330" s="4" t="s">
        <v>775</v>
      </c>
      <c r="B330" s="4" t="s">
        <v>776</v>
      </c>
      <c r="C330" s="4" t="s">
        <v>777</v>
      </c>
      <c r="D330" s="4" t="s">
        <v>72</v>
      </c>
      <c r="E330" s="4" t="str">
        <f>MID(Timezone[[#This Row],[GMT Offset]], 5, 6) &amp; " - " &amp; Timezone[[#This Row],[Country Name]] &amp; " (" &amp;Timezone[[#This Row],[Time Zone]] &amp; ")"</f>
        <v>-04:00 - Saint Lucia (America/St_Lucia)</v>
      </c>
    </row>
    <row r="331" spans="1:5" x14ac:dyDescent="0.2">
      <c r="A331" s="4" t="s">
        <v>778</v>
      </c>
      <c r="B331" s="4" t="s">
        <v>779</v>
      </c>
      <c r="C331" s="4" t="s">
        <v>780</v>
      </c>
      <c r="D331" s="4" t="s">
        <v>72</v>
      </c>
      <c r="E331" s="4" t="str">
        <f>MID(Timezone[[#This Row],[GMT Offset]], 5, 6) &amp; " - " &amp; Timezone[[#This Row],[Country Name]] &amp; " (" &amp;Timezone[[#This Row],[Time Zone]] &amp; ")"</f>
        <v>-04:00 - Saint Martin (America/Marigot)</v>
      </c>
    </row>
    <row r="332" spans="1:5" x14ac:dyDescent="0.2">
      <c r="A332" s="4" t="s">
        <v>781</v>
      </c>
      <c r="B332" s="4" t="s">
        <v>782</v>
      </c>
      <c r="C332" s="4" t="s">
        <v>783</v>
      </c>
      <c r="D332" s="4" t="s">
        <v>197</v>
      </c>
      <c r="E332" s="4" t="str">
        <f>MID(Timezone[[#This Row],[GMT Offset]], 5, 6) &amp; " - " &amp; Timezone[[#This Row],[Country Name]] &amp; " (" &amp;Timezone[[#This Row],[Time Zone]] &amp; ")"</f>
        <v>-02:00 - Saint Pierre and Miquelon (America/Miquelon)</v>
      </c>
    </row>
    <row r="333" spans="1:5" x14ac:dyDescent="0.2">
      <c r="A333" s="4" t="s">
        <v>784</v>
      </c>
      <c r="B333" s="4" t="s">
        <v>785</v>
      </c>
      <c r="C333" s="4" t="s">
        <v>786</v>
      </c>
      <c r="D333" s="4" t="s">
        <v>72</v>
      </c>
      <c r="E333" s="4" t="str">
        <f>MID(Timezone[[#This Row],[GMT Offset]], 5, 6) &amp; " - " &amp; Timezone[[#This Row],[Country Name]] &amp; " (" &amp;Timezone[[#This Row],[Time Zone]] &amp; ")"</f>
        <v>-04:00 - Saint Vincent and the Grenadines (America/St_Vincent)</v>
      </c>
    </row>
    <row r="334" spans="1:5" x14ac:dyDescent="0.2">
      <c r="A334" s="4" t="s">
        <v>787</v>
      </c>
      <c r="B334" s="4" t="s">
        <v>788</v>
      </c>
      <c r="C334" s="4" t="s">
        <v>789</v>
      </c>
      <c r="D334" s="4" t="s">
        <v>512</v>
      </c>
      <c r="E334" s="4" t="str">
        <f>MID(Timezone[[#This Row],[GMT Offset]], 5, 6) &amp; " - " &amp; Timezone[[#This Row],[Country Name]] &amp; " (" &amp;Timezone[[#This Row],[Time Zone]] &amp; ")"</f>
        <v>+13:00 - Samoa (Pacific/Apia)</v>
      </c>
    </row>
    <row r="335" spans="1:5" x14ac:dyDescent="0.2">
      <c r="A335" s="4" t="s">
        <v>790</v>
      </c>
      <c r="B335" s="4" t="s">
        <v>791</v>
      </c>
      <c r="C335" s="4" t="s">
        <v>792</v>
      </c>
      <c r="D335" s="4" t="s">
        <v>54</v>
      </c>
      <c r="E335" s="4" t="str">
        <f>MID(Timezone[[#This Row],[GMT Offset]], 5, 6) &amp; " - " &amp; Timezone[[#This Row],[Country Name]] &amp; " (" &amp;Timezone[[#This Row],[Time Zone]] &amp; ")"</f>
        <v>+02:00 - San Marino (Europe/San_Marino)</v>
      </c>
    </row>
    <row r="336" spans="1:5" x14ac:dyDescent="0.2">
      <c r="A336" s="4" t="s">
        <v>793</v>
      </c>
      <c r="B336" s="4" t="s">
        <v>794</v>
      </c>
      <c r="C336" s="4" t="s">
        <v>795</v>
      </c>
      <c r="D336" s="4" t="s">
        <v>58</v>
      </c>
      <c r="E336" s="4" t="str">
        <f>MID(Timezone[[#This Row],[GMT Offset]], 5, 6) &amp; " - " &amp; Timezone[[#This Row],[Country Name]] &amp; " (" &amp;Timezone[[#This Row],[Time Zone]] &amp; ")"</f>
        <v>+01:00 - Sao Tome and Principe (Africa/Sao_Tome)</v>
      </c>
    </row>
    <row r="337" spans="1:5" x14ac:dyDescent="0.2">
      <c r="A337" s="4" t="s">
        <v>796</v>
      </c>
      <c r="B337" s="4" t="s">
        <v>797</v>
      </c>
      <c r="C337" s="4" t="s">
        <v>798</v>
      </c>
      <c r="D337" s="4" t="s">
        <v>50</v>
      </c>
      <c r="E337" s="4" t="str">
        <f>MID(Timezone[[#This Row],[GMT Offset]], 5, 6) &amp; " - " &amp; Timezone[[#This Row],[Country Name]] &amp; " (" &amp;Timezone[[#This Row],[Time Zone]] &amp; ")"</f>
        <v>+03:00 - Saudi Arabia (Asia/Riyadh)</v>
      </c>
    </row>
    <row r="338" spans="1:5" x14ac:dyDescent="0.2">
      <c r="A338" s="4" t="s">
        <v>799</v>
      </c>
      <c r="B338" s="4" t="s">
        <v>800</v>
      </c>
      <c r="C338" s="4" t="s">
        <v>801</v>
      </c>
      <c r="D338" s="4" t="s">
        <v>995</v>
      </c>
      <c r="E338" s="4" t="str">
        <f>MID(Timezone[[#This Row],[GMT Offset]], 5, 6) &amp; " - " &amp; Timezone[[#This Row],[Country Name]] &amp; " (" &amp;Timezone[[#This Row],[Time Zone]] &amp; ")"</f>
        <v>+00:00 - Senegal (Africa/Dakar)</v>
      </c>
    </row>
    <row r="339" spans="1:5" x14ac:dyDescent="0.2">
      <c r="A339" s="4" t="s">
        <v>802</v>
      </c>
      <c r="B339" s="4" t="s">
        <v>803</v>
      </c>
      <c r="C339" s="4" t="s">
        <v>804</v>
      </c>
      <c r="D339" s="4" t="s">
        <v>54</v>
      </c>
      <c r="E339" s="4" t="str">
        <f>MID(Timezone[[#This Row],[GMT Offset]], 5, 6) &amp; " - " &amp; Timezone[[#This Row],[Country Name]] &amp; " (" &amp;Timezone[[#This Row],[Time Zone]] &amp; ")"</f>
        <v>+02:00 - Serbia (Europe/Belgrade)</v>
      </c>
    </row>
    <row r="340" spans="1:5" x14ac:dyDescent="0.2">
      <c r="A340" s="4" t="s">
        <v>805</v>
      </c>
      <c r="B340" s="4" t="s">
        <v>806</v>
      </c>
      <c r="C340" s="4" t="s">
        <v>807</v>
      </c>
      <c r="D340" s="4" t="s">
        <v>112</v>
      </c>
      <c r="E340" s="4" t="str">
        <f>MID(Timezone[[#This Row],[GMT Offset]], 5, 6) &amp; " - " &amp; Timezone[[#This Row],[Country Name]] &amp; " (" &amp;Timezone[[#This Row],[Time Zone]] &amp; ")"</f>
        <v>+04:00 - Seychelles (Indian/Mahe)</v>
      </c>
    </row>
    <row r="341" spans="1:5" x14ac:dyDescent="0.2">
      <c r="A341" s="4" t="s">
        <v>808</v>
      </c>
      <c r="B341" s="4" t="s">
        <v>809</v>
      </c>
      <c r="C341" s="4" t="s">
        <v>810</v>
      </c>
      <c r="D341" s="4" t="s">
        <v>995</v>
      </c>
      <c r="E341" s="4" t="str">
        <f>MID(Timezone[[#This Row],[GMT Offset]], 5, 6) &amp; " - " &amp; Timezone[[#This Row],[Country Name]] &amp; " (" &amp;Timezone[[#This Row],[Time Zone]] &amp; ")"</f>
        <v>+00:00 - Sierra Leone (Africa/Freetown)</v>
      </c>
    </row>
    <row r="342" spans="1:5" x14ac:dyDescent="0.2">
      <c r="A342" s="4" t="s">
        <v>811</v>
      </c>
      <c r="B342" s="4" t="s">
        <v>812</v>
      </c>
      <c r="C342" s="4" t="s">
        <v>813</v>
      </c>
      <c r="D342" s="4" t="s">
        <v>76</v>
      </c>
      <c r="E342" s="4" t="str">
        <f>MID(Timezone[[#This Row],[GMT Offset]], 5, 6) &amp; " - " &amp; Timezone[[#This Row],[Country Name]] &amp; " (" &amp;Timezone[[#This Row],[Time Zone]] &amp; ")"</f>
        <v>+08:00 - Singapore (Asia/Singapore)</v>
      </c>
    </row>
    <row r="343" spans="1:5" x14ac:dyDescent="0.2">
      <c r="A343" s="4" t="s">
        <v>814</v>
      </c>
      <c r="B343" s="4" t="s">
        <v>815</v>
      </c>
      <c r="C343" s="4" t="s">
        <v>816</v>
      </c>
      <c r="D343" s="4" t="s">
        <v>72</v>
      </c>
      <c r="E343" s="4" t="str">
        <f>MID(Timezone[[#This Row],[GMT Offset]], 5, 6) &amp; " - " &amp; Timezone[[#This Row],[Country Name]] &amp; " (" &amp;Timezone[[#This Row],[Time Zone]] &amp; ")"</f>
        <v>-04:00 - Sint Maarten (America/Lower_Princes)</v>
      </c>
    </row>
    <row r="344" spans="1:5" x14ac:dyDescent="0.2">
      <c r="A344" s="4" t="s">
        <v>817</v>
      </c>
      <c r="B344" s="4" t="s">
        <v>818</v>
      </c>
      <c r="C344" s="4" t="s">
        <v>819</v>
      </c>
      <c r="D344" s="4" t="s">
        <v>54</v>
      </c>
      <c r="E344" s="4" t="str">
        <f>MID(Timezone[[#This Row],[GMT Offset]], 5, 6) &amp; " - " &amp; Timezone[[#This Row],[Country Name]] &amp; " (" &amp;Timezone[[#This Row],[Time Zone]] &amp; ")"</f>
        <v>+02:00 - Slovakia (Europe/Bratislava)</v>
      </c>
    </row>
    <row r="345" spans="1:5" x14ac:dyDescent="0.2">
      <c r="A345" s="4" t="s">
        <v>820</v>
      </c>
      <c r="B345" s="4" t="s">
        <v>821</v>
      </c>
      <c r="C345" s="4" t="s">
        <v>822</v>
      </c>
      <c r="D345" s="4" t="s">
        <v>54</v>
      </c>
      <c r="E345" s="4" t="str">
        <f>MID(Timezone[[#This Row],[GMT Offset]], 5, 6) &amp; " - " &amp; Timezone[[#This Row],[Country Name]] &amp; " (" &amp;Timezone[[#This Row],[Time Zone]] &amp; ")"</f>
        <v>+02:00 - Slovenia (Europe/Ljubljana)</v>
      </c>
    </row>
    <row r="346" spans="1:5" x14ac:dyDescent="0.2">
      <c r="A346" s="4" t="s">
        <v>823</v>
      </c>
      <c r="B346" s="4" t="s">
        <v>824</v>
      </c>
      <c r="C346" s="4" t="s">
        <v>825</v>
      </c>
      <c r="D346" s="4" t="s">
        <v>118</v>
      </c>
      <c r="E346" s="4" t="str">
        <f>MID(Timezone[[#This Row],[GMT Offset]], 5, 6) &amp; " - " &amp; Timezone[[#This Row],[Country Name]] &amp; " (" &amp;Timezone[[#This Row],[Time Zone]] &amp; ")"</f>
        <v>+11:00 - Solomon Islands (Pacific/Guadalcanal)</v>
      </c>
    </row>
    <row r="347" spans="1:5" x14ac:dyDescent="0.2">
      <c r="A347" s="4" t="s">
        <v>826</v>
      </c>
      <c r="B347" s="4" t="s">
        <v>827</v>
      </c>
      <c r="C347" s="4" t="s">
        <v>828</v>
      </c>
      <c r="D347" s="4" t="s">
        <v>50</v>
      </c>
      <c r="E347" s="4" t="str">
        <f>MID(Timezone[[#This Row],[GMT Offset]], 5, 6) &amp; " - " &amp; Timezone[[#This Row],[Country Name]] &amp; " (" &amp;Timezone[[#This Row],[Time Zone]] &amp; ")"</f>
        <v>+03:00 - Somalia (Africa/Mogadishu)</v>
      </c>
    </row>
    <row r="348" spans="1:5" x14ac:dyDescent="0.2">
      <c r="A348" s="4" t="s">
        <v>829</v>
      </c>
      <c r="B348" s="4" t="s">
        <v>830</v>
      </c>
      <c r="C348" s="4" t="s">
        <v>831</v>
      </c>
      <c r="D348" s="4" t="s">
        <v>54</v>
      </c>
      <c r="E348" s="4" t="str">
        <f>MID(Timezone[[#This Row],[GMT Offset]], 5, 6) &amp; " - " &amp; Timezone[[#This Row],[Country Name]] &amp; " (" &amp;Timezone[[#This Row],[Time Zone]] &amp; ")"</f>
        <v>+02:00 - South Africa (Africa/Johannesburg)</v>
      </c>
    </row>
    <row r="349" spans="1:5" x14ac:dyDescent="0.2">
      <c r="A349" s="4" t="s">
        <v>832</v>
      </c>
      <c r="B349" s="4" t="s">
        <v>833</v>
      </c>
      <c r="C349" s="4" t="s">
        <v>834</v>
      </c>
      <c r="D349" s="4" t="s">
        <v>197</v>
      </c>
      <c r="E349" s="4" t="str">
        <f>MID(Timezone[[#This Row],[GMT Offset]], 5, 6) &amp; " - " &amp; Timezone[[#This Row],[Country Name]] &amp; " (" &amp;Timezone[[#This Row],[Time Zone]] &amp; ")"</f>
        <v>-02:00 - South Georgia and the South Sandwich Islands (Atlantic/South_Georgia)</v>
      </c>
    </row>
    <row r="350" spans="1:5" x14ac:dyDescent="0.2">
      <c r="A350" s="4" t="s">
        <v>835</v>
      </c>
      <c r="B350" s="4" t="s">
        <v>836</v>
      </c>
      <c r="C350" s="4" t="s">
        <v>837</v>
      </c>
      <c r="D350" s="4" t="s">
        <v>337</v>
      </c>
      <c r="E350" s="4" t="str">
        <f>MID(Timezone[[#This Row],[GMT Offset]], 5, 6) &amp; " - " &amp; Timezone[[#This Row],[Country Name]] &amp; " (" &amp;Timezone[[#This Row],[Time Zone]] &amp; ")"</f>
        <v>+09:00 - South Korea (Asia/Seoul)</v>
      </c>
    </row>
    <row r="351" spans="1:5" x14ac:dyDescent="0.2">
      <c r="A351" s="4" t="s">
        <v>838</v>
      </c>
      <c r="B351" s="4" t="s">
        <v>839</v>
      </c>
      <c r="C351" s="4" t="s">
        <v>840</v>
      </c>
      <c r="D351" s="4" t="s">
        <v>50</v>
      </c>
      <c r="E351" s="4" t="str">
        <f>MID(Timezone[[#This Row],[GMT Offset]], 5, 6) &amp; " - " &amp; Timezone[[#This Row],[Country Name]] &amp; " (" &amp;Timezone[[#This Row],[Time Zone]] &amp; ")"</f>
        <v>+03:00 - South Sudan (Africa/Juba)</v>
      </c>
    </row>
    <row r="352" spans="1:5" x14ac:dyDescent="0.2">
      <c r="A352" s="4" t="s">
        <v>841</v>
      </c>
      <c r="B352" s="4" t="s">
        <v>842</v>
      </c>
      <c r="C352" s="4" t="s">
        <v>843</v>
      </c>
      <c r="D352" s="4" t="s">
        <v>54</v>
      </c>
      <c r="E352" s="4" t="str">
        <f>MID(Timezone[[#This Row],[GMT Offset]], 5, 6) &amp; " - " &amp; Timezone[[#This Row],[Country Name]] &amp; " (" &amp;Timezone[[#This Row],[Time Zone]] &amp; ")"</f>
        <v>+02:00 - Spain (Africa/Ceuta)</v>
      </c>
    </row>
    <row r="353" spans="1:5" x14ac:dyDescent="0.2">
      <c r="A353" s="4" t="s">
        <v>841</v>
      </c>
      <c r="B353" s="4" t="s">
        <v>842</v>
      </c>
      <c r="C353" s="4" t="s">
        <v>844</v>
      </c>
      <c r="D353" s="4" t="s">
        <v>58</v>
      </c>
      <c r="E353" s="4" t="str">
        <f>MID(Timezone[[#This Row],[GMT Offset]], 5, 6) &amp; " - " &amp; Timezone[[#This Row],[Country Name]] &amp; " (" &amp;Timezone[[#This Row],[Time Zone]] &amp; ")"</f>
        <v>+01:00 - Spain (Atlantic/Canary)</v>
      </c>
    </row>
    <row r="354" spans="1:5" x14ac:dyDescent="0.2">
      <c r="A354" s="4" t="s">
        <v>841</v>
      </c>
      <c r="B354" s="4" t="s">
        <v>842</v>
      </c>
      <c r="C354" s="4" t="s">
        <v>845</v>
      </c>
      <c r="D354" s="4" t="s">
        <v>54</v>
      </c>
      <c r="E354" s="4" t="str">
        <f>MID(Timezone[[#This Row],[GMT Offset]], 5, 6) &amp; " - " &amp; Timezone[[#This Row],[Country Name]] &amp; " (" &amp;Timezone[[#This Row],[Time Zone]] &amp; ")"</f>
        <v>+02:00 - Spain (Europe/Madrid)</v>
      </c>
    </row>
    <row r="355" spans="1:5" x14ac:dyDescent="0.2">
      <c r="A355" s="4" t="s">
        <v>846</v>
      </c>
      <c r="B355" s="4" t="s">
        <v>847</v>
      </c>
      <c r="C355" s="4" t="s">
        <v>848</v>
      </c>
      <c r="D355" s="4" t="s">
        <v>458</v>
      </c>
      <c r="E355" s="4" t="str">
        <f>MID(Timezone[[#This Row],[GMT Offset]], 5, 6) &amp; " - " &amp; Timezone[[#This Row],[Country Name]] &amp; " (" &amp;Timezone[[#This Row],[Time Zone]] &amp; ")"</f>
        <v>+05:30 - Sri Lanka (Asia/Colombo)</v>
      </c>
    </row>
    <row r="356" spans="1:5" x14ac:dyDescent="0.2">
      <c r="A356" s="4" t="s">
        <v>849</v>
      </c>
      <c r="B356" s="4" t="s">
        <v>850</v>
      </c>
      <c r="C356" s="4" t="s">
        <v>851</v>
      </c>
      <c r="D356" s="4" t="s">
        <v>54</v>
      </c>
      <c r="E356" s="4" t="str">
        <f>MID(Timezone[[#This Row],[GMT Offset]], 5, 6) &amp; " - " &amp; Timezone[[#This Row],[Country Name]] &amp; " (" &amp;Timezone[[#This Row],[Time Zone]] &amp; ")"</f>
        <v>+02:00 - Sudan (Africa/Khartoum)</v>
      </c>
    </row>
    <row r="357" spans="1:5" x14ac:dyDescent="0.2">
      <c r="A357" s="4" t="s">
        <v>852</v>
      </c>
      <c r="B357" s="4" t="s">
        <v>853</v>
      </c>
      <c r="C357" s="4" t="s">
        <v>854</v>
      </c>
      <c r="D357" s="4" t="s">
        <v>86</v>
      </c>
      <c r="E357" s="4" t="str">
        <f>MID(Timezone[[#This Row],[GMT Offset]], 5, 6) &amp; " - " &amp; Timezone[[#This Row],[Country Name]] &amp; " (" &amp;Timezone[[#This Row],[Time Zone]] &amp; ")"</f>
        <v>-03:00 - Suriname (America/Paramaribo)</v>
      </c>
    </row>
    <row r="358" spans="1:5" x14ac:dyDescent="0.2">
      <c r="A358" s="4" t="s">
        <v>855</v>
      </c>
      <c r="B358" s="4" t="s">
        <v>856</v>
      </c>
      <c r="C358" s="4" t="s">
        <v>857</v>
      </c>
      <c r="D358" s="4" t="s">
        <v>54</v>
      </c>
      <c r="E358" s="4" t="str">
        <f>MID(Timezone[[#This Row],[GMT Offset]], 5, 6) &amp; " - " &amp; Timezone[[#This Row],[Country Name]] &amp; " (" &amp;Timezone[[#This Row],[Time Zone]] &amp; ")"</f>
        <v>+02:00 - Svalbard and Jan Mayen (Arctic/Longyearbyen)</v>
      </c>
    </row>
    <row r="359" spans="1:5" x14ac:dyDescent="0.2">
      <c r="A359" s="4" t="s">
        <v>858</v>
      </c>
      <c r="B359" s="4" t="s">
        <v>859</v>
      </c>
      <c r="C359" s="4" t="s">
        <v>860</v>
      </c>
      <c r="D359" s="4" t="s">
        <v>54</v>
      </c>
      <c r="E359" s="4" t="str">
        <f>MID(Timezone[[#This Row],[GMT Offset]], 5, 6) &amp; " - " &amp; Timezone[[#This Row],[Country Name]] &amp; " (" &amp;Timezone[[#This Row],[Time Zone]] &amp; ")"</f>
        <v>+02:00 - Swaziland (Africa/Mbabane)</v>
      </c>
    </row>
    <row r="360" spans="1:5" x14ac:dyDescent="0.2">
      <c r="A360" s="4" t="s">
        <v>861</v>
      </c>
      <c r="B360" s="4" t="s">
        <v>862</v>
      </c>
      <c r="C360" s="4" t="s">
        <v>863</v>
      </c>
      <c r="D360" s="4" t="s">
        <v>54</v>
      </c>
      <c r="E360" s="4" t="str">
        <f>MID(Timezone[[#This Row],[GMT Offset]], 5, 6) &amp; " - " &amp; Timezone[[#This Row],[Country Name]] &amp; " (" &amp;Timezone[[#This Row],[Time Zone]] &amp; ")"</f>
        <v>+02:00 - Sweden (Europe/Stockholm)</v>
      </c>
    </row>
    <row r="361" spans="1:5" x14ac:dyDescent="0.2">
      <c r="A361" s="4" t="s">
        <v>864</v>
      </c>
      <c r="B361" s="4" t="s">
        <v>865</v>
      </c>
      <c r="C361" s="4" t="s">
        <v>866</v>
      </c>
      <c r="D361" s="4" t="s">
        <v>54</v>
      </c>
      <c r="E361" s="4" t="str">
        <f>MID(Timezone[[#This Row],[GMT Offset]], 5, 6) &amp; " - " &amp; Timezone[[#This Row],[Country Name]] &amp; " (" &amp;Timezone[[#This Row],[Time Zone]] &amp; ")"</f>
        <v>+02:00 - Switzerland (Europe/Zurich)</v>
      </c>
    </row>
    <row r="362" spans="1:5" x14ac:dyDescent="0.2">
      <c r="A362" s="4" t="s">
        <v>867</v>
      </c>
      <c r="B362" s="4" t="s">
        <v>868</v>
      </c>
      <c r="C362" s="4" t="s">
        <v>869</v>
      </c>
      <c r="D362" s="4" t="s">
        <v>50</v>
      </c>
      <c r="E362" s="4" t="str">
        <f>MID(Timezone[[#This Row],[GMT Offset]], 5, 6) &amp; " - " &amp; Timezone[[#This Row],[Country Name]] &amp; " (" &amp;Timezone[[#This Row],[Time Zone]] &amp; ")"</f>
        <v>+03:00 - Syria (Asia/Damascus)</v>
      </c>
    </row>
    <row r="363" spans="1:5" x14ac:dyDescent="0.2">
      <c r="A363" s="4" t="s">
        <v>870</v>
      </c>
      <c r="B363" s="4" t="s">
        <v>871</v>
      </c>
      <c r="C363" s="4" t="s">
        <v>872</v>
      </c>
      <c r="D363" s="4" t="s">
        <v>76</v>
      </c>
      <c r="E363" s="4" t="str">
        <f>MID(Timezone[[#This Row],[GMT Offset]], 5, 6) &amp; " - " &amp; Timezone[[#This Row],[Country Name]] &amp; " (" &amp;Timezone[[#This Row],[Time Zone]] &amp; ")"</f>
        <v>+08:00 - Taiwan (Asia/Taipei)</v>
      </c>
    </row>
    <row r="364" spans="1:5" x14ac:dyDescent="0.2">
      <c r="A364" s="4" t="s">
        <v>873</v>
      </c>
      <c r="B364" s="4" t="s">
        <v>874</v>
      </c>
      <c r="C364" s="4" t="s">
        <v>875</v>
      </c>
      <c r="D364" s="4" t="s">
        <v>82</v>
      </c>
      <c r="E364" s="4" t="str">
        <f>MID(Timezone[[#This Row],[GMT Offset]], 5, 6) &amp; " - " &amp; Timezone[[#This Row],[Country Name]] &amp; " (" &amp;Timezone[[#This Row],[Time Zone]] &amp; ")"</f>
        <v>+05:00 - Tajikistan (Asia/Dushanbe)</v>
      </c>
    </row>
    <row r="365" spans="1:5" x14ac:dyDescent="0.2">
      <c r="A365" s="4" t="s">
        <v>876</v>
      </c>
      <c r="B365" s="4" t="s">
        <v>877</v>
      </c>
      <c r="C365" s="4" t="s">
        <v>878</v>
      </c>
      <c r="D365" s="4" t="s">
        <v>50</v>
      </c>
      <c r="E365" s="4" t="str">
        <f>MID(Timezone[[#This Row],[GMT Offset]], 5, 6) &amp; " - " &amp; Timezone[[#This Row],[Country Name]] &amp; " (" &amp;Timezone[[#This Row],[Time Zone]] &amp; ")"</f>
        <v>+03:00 - Tanzania (Africa/Dar_es_Salaam)</v>
      </c>
    </row>
    <row r="366" spans="1:5" x14ac:dyDescent="0.2">
      <c r="A366" s="4" t="s">
        <v>879</v>
      </c>
      <c r="B366" s="4" t="s">
        <v>880</v>
      </c>
      <c r="C366" s="4" t="s">
        <v>881</v>
      </c>
      <c r="D366" s="4" t="s">
        <v>78</v>
      </c>
      <c r="E366" s="4" t="str">
        <f>MID(Timezone[[#This Row],[GMT Offset]], 5, 6) &amp; " - " &amp; Timezone[[#This Row],[Country Name]] &amp; " (" &amp;Timezone[[#This Row],[Time Zone]] &amp; ")"</f>
        <v>+07:00 - Thailand (Asia/Bangkok)</v>
      </c>
    </row>
    <row r="367" spans="1:5" x14ac:dyDescent="0.2">
      <c r="A367" s="4" t="s">
        <v>882</v>
      </c>
      <c r="B367" s="4" t="s">
        <v>883</v>
      </c>
      <c r="C367" s="4" t="s">
        <v>884</v>
      </c>
      <c r="D367" s="4" t="s">
        <v>995</v>
      </c>
      <c r="E367" s="4" t="str">
        <f>MID(Timezone[[#This Row],[GMT Offset]], 5, 6) &amp; " - " &amp; Timezone[[#This Row],[Country Name]] &amp; " (" &amp;Timezone[[#This Row],[Time Zone]] &amp; ")"</f>
        <v>+00:00 - Togo (Africa/Lome)</v>
      </c>
    </row>
    <row r="368" spans="1:5" x14ac:dyDescent="0.2">
      <c r="A368" s="4" t="s">
        <v>885</v>
      </c>
      <c r="B368" s="4" t="s">
        <v>886</v>
      </c>
      <c r="C368" s="4" t="s">
        <v>887</v>
      </c>
      <c r="D368" s="4" t="s">
        <v>512</v>
      </c>
      <c r="E368" s="4" t="str">
        <f>MID(Timezone[[#This Row],[GMT Offset]], 5, 6) &amp; " - " &amp; Timezone[[#This Row],[Country Name]] &amp; " (" &amp;Timezone[[#This Row],[Time Zone]] &amp; ")"</f>
        <v>+13:00 - Tokelau (Pacific/Fakaofo)</v>
      </c>
    </row>
    <row r="369" spans="1:5" x14ac:dyDescent="0.2">
      <c r="A369" s="4" t="s">
        <v>888</v>
      </c>
      <c r="B369" s="4" t="s">
        <v>889</v>
      </c>
      <c r="C369" s="4" t="s">
        <v>890</v>
      </c>
      <c r="D369" s="4" t="s">
        <v>512</v>
      </c>
      <c r="E369" s="4" t="str">
        <f>MID(Timezone[[#This Row],[GMT Offset]], 5, 6) &amp; " - " &amp; Timezone[[#This Row],[Country Name]] &amp; " (" &amp;Timezone[[#This Row],[Time Zone]] &amp; ")"</f>
        <v>+13:00 - Tonga (Pacific/Tongatapu)</v>
      </c>
    </row>
    <row r="370" spans="1:5" x14ac:dyDescent="0.2">
      <c r="A370" s="4" t="s">
        <v>891</v>
      </c>
      <c r="B370" s="4" t="s">
        <v>892</v>
      </c>
      <c r="C370" s="4" t="s">
        <v>893</v>
      </c>
      <c r="D370" s="4" t="s">
        <v>72</v>
      </c>
      <c r="E370" s="4" t="str">
        <f>MID(Timezone[[#This Row],[GMT Offset]], 5, 6) &amp; " - " &amp; Timezone[[#This Row],[Country Name]] &amp; " (" &amp;Timezone[[#This Row],[Time Zone]] &amp; ")"</f>
        <v>-04:00 - Trinidad and Tobago (America/Port_of_Spain)</v>
      </c>
    </row>
    <row r="371" spans="1:5" x14ac:dyDescent="0.2">
      <c r="A371" s="4" t="s">
        <v>894</v>
      </c>
      <c r="B371" s="4" t="s">
        <v>895</v>
      </c>
      <c r="C371" s="4" t="s">
        <v>896</v>
      </c>
      <c r="D371" s="4" t="s">
        <v>58</v>
      </c>
      <c r="E371" s="4" t="str">
        <f>MID(Timezone[[#This Row],[GMT Offset]], 5, 6) &amp; " - " &amp; Timezone[[#This Row],[Country Name]] &amp; " (" &amp;Timezone[[#This Row],[Time Zone]] &amp; ")"</f>
        <v>+01:00 - Tunisia (Africa/Tunis)</v>
      </c>
    </row>
    <row r="372" spans="1:5" x14ac:dyDescent="0.2">
      <c r="A372" s="4" t="s">
        <v>897</v>
      </c>
      <c r="B372" s="4" t="s">
        <v>898</v>
      </c>
      <c r="C372" s="4" t="s">
        <v>899</v>
      </c>
      <c r="D372" s="4" t="s">
        <v>50</v>
      </c>
      <c r="E372" s="4" t="str">
        <f>MID(Timezone[[#This Row],[GMT Offset]], 5, 6) &amp; " - " &amp; Timezone[[#This Row],[Country Name]] &amp; " (" &amp;Timezone[[#This Row],[Time Zone]] &amp; ")"</f>
        <v>+03:00 - Turkey (Europe/Istanbul)</v>
      </c>
    </row>
    <row r="373" spans="1:5" x14ac:dyDescent="0.2">
      <c r="A373" s="4" t="s">
        <v>900</v>
      </c>
      <c r="B373" s="4" t="s">
        <v>901</v>
      </c>
      <c r="C373" s="4" t="s">
        <v>902</v>
      </c>
      <c r="D373" s="4" t="s">
        <v>82</v>
      </c>
      <c r="E373" s="4" t="str">
        <f>MID(Timezone[[#This Row],[GMT Offset]], 5, 6) &amp; " - " &amp; Timezone[[#This Row],[Country Name]] &amp; " (" &amp;Timezone[[#This Row],[Time Zone]] &amp; ")"</f>
        <v>+05:00 - Turkmenistan (Asia/Ashgabat)</v>
      </c>
    </row>
    <row r="374" spans="1:5" x14ac:dyDescent="0.2">
      <c r="A374" s="4" t="s">
        <v>903</v>
      </c>
      <c r="B374" s="4" t="s">
        <v>904</v>
      </c>
      <c r="C374" s="4" t="s">
        <v>905</v>
      </c>
      <c r="D374" s="4" t="s">
        <v>72</v>
      </c>
      <c r="E374" s="4" t="str">
        <f>MID(Timezone[[#This Row],[GMT Offset]], 5, 6) &amp; " - " &amp; Timezone[[#This Row],[Country Name]] &amp; " (" &amp;Timezone[[#This Row],[Time Zone]] &amp; ")"</f>
        <v>-04:00 - Turks and Caicos Islands (America/Grand_Turk)</v>
      </c>
    </row>
    <row r="375" spans="1:5" x14ac:dyDescent="0.2">
      <c r="A375" s="4" t="s">
        <v>906</v>
      </c>
      <c r="B375" s="4" t="s">
        <v>907</v>
      </c>
      <c r="C375" s="4" t="s">
        <v>908</v>
      </c>
      <c r="D375" s="4" t="s">
        <v>84</v>
      </c>
      <c r="E375" s="4" t="str">
        <f>MID(Timezone[[#This Row],[GMT Offset]], 5, 6) &amp; " - " &amp; Timezone[[#This Row],[Country Name]] &amp; " (" &amp;Timezone[[#This Row],[Time Zone]] &amp; ")"</f>
        <v>+12:00 - Tuvalu (Pacific/Funafuti)</v>
      </c>
    </row>
    <row r="376" spans="1:5" x14ac:dyDescent="0.2">
      <c r="A376" s="4" t="s">
        <v>909</v>
      </c>
      <c r="B376" s="4" t="s">
        <v>910</v>
      </c>
      <c r="C376" s="4" t="s">
        <v>911</v>
      </c>
      <c r="D376" s="4" t="s">
        <v>72</v>
      </c>
      <c r="E376" s="4" t="str">
        <f>MID(Timezone[[#This Row],[GMT Offset]], 5, 6) &amp; " - " &amp; Timezone[[#This Row],[Country Name]] &amp; " (" &amp;Timezone[[#This Row],[Time Zone]] &amp; ")"</f>
        <v>-04:00 - U.S. Virgin Islands (America/St_Thomas)</v>
      </c>
    </row>
    <row r="377" spans="1:5" x14ac:dyDescent="0.2">
      <c r="A377" s="4" t="s">
        <v>912</v>
      </c>
      <c r="B377" s="4" t="s">
        <v>913</v>
      </c>
      <c r="C377" s="4" t="s">
        <v>914</v>
      </c>
      <c r="D377" s="4" t="s">
        <v>50</v>
      </c>
      <c r="E377" s="4" t="str">
        <f>MID(Timezone[[#This Row],[GMT Offset]], 5, 6) &amp; " - " &amp; Timezone[[#This Row],[Country Name]] &amp; " (" &amp;Timezone[[#This Row],[Time Zone]] &amp; ")"</f>
        <v>+03:00 - Uganda (Africa/Kampala)</v>
      </c>
    </row>
    <row r="378" spans="1:5" x14ac:dyDescent="0.2">
      <c r="A378" s="4" t="s">
        <v>915</v>
      </c>
      <c r="B378" s="4" t="s">
        <v>916</v>
      </c>
      <c r="C378" s="4" t="s">
        <v>917</v>
      </c>
      <c r="D378" s="4" t="s">
        <v>50</v>
      </c>
      <c r="E378" s="4" t="str">
        <f>MID(Timezone[[#This Row],[GMT Offset]], 5, 6) &amp; " - " &amp; Timezone[[#This Row],[Country Name]] &amp; " (" &amp;Timezone[[#This Row],[Time Zone]] &amp; ")"</f>
        <v>+03:00 - Ukraine (Europe/Kiev)</v>
      </c>
    </row>
    <row r="379" spans="1:5" x14ac:dyDescent="0.2">
      <c r="A379" s="4" t="s">
        <v>915</v>
      </c>
      <c r="B379" s="4" t="s">
        <v>916</v>
      </c>
      <c r="C379" s="4" t="s">
        <v>918</v>
      </c>
      <c r="D379" s="4" t="s">
        <v>50</v>
      </c>
      <c r="E379" s="4" t="str">
        <f>MID(Timezone[[#This Row],[GMT Offset]], 5, 6) &amp; " - " &amp; Timezone[[#This Row],[Country Name]] &amp; " (" &amp;Timezone[[#This Row],[Time Zone]] &amp; ")"</f>
        <v>+03:00 - Ukraine (Europe/Uzhgorod)</v>
      </c>
    </row>
    <row r="380" spans="1:5" x14ac:dyDescent="0.2">
      <c r="A380" s="4" t="s">
        <v>915</v>
      </c>
      <c r="B380" s="4" t="s">
        <v>916</v>
      </c>
      <c r="C380" s="4" t="s">
        <v>919</v>
      </c>
      <c r="D380" s="4" t="s">
        <v>50</v>
      </c>
      <c r="E380" s="4" t="str">
        <f>MID(Timezone[[#This Row],[GMT Offset]], 5, 6) &amp; " - " &amp; Timezone[[#This Row],[Country Name]] &amp; " (" &amp;Timezone[[#This Row],[Time Zone]] &amp; ")"</f>
        <v>+03:00 - Ukraine (Europe/Zaporozhye)</v>
      </c>
    </row>
    <row r="381" spans="1:5" x14ac:dyDescent="0.2">
      <c r="A381" s="4" t="s">
        <v>920</v>
      </c>
      <c r="B381" s="4" t="s">
        <v>921</v>
      </c>
      <c r="C381" s="4" t="s">
        <v>922</v>
      </c>
      <c r="D381" s="4" t="s">
        <v>112</v>
      </c>
      <c r="E381" s="4" t="str">
        <f>MID(Timezone[[#This Row],[GMT Offset]], 5, 6) &amp; " - " &amp; Timezone[[#This Row],[Country Name]] &amp; " (" &amp;Timezone[[#This Row],[Time Zone]] &amp; ")"</f>
        <v>+04:00 - United Arab Emirates (Asia/Dubai)</v>
      </c>
    </row>
    <row r="382" spans="1:5" x14ac:dyDescent="0.2">
      <c r="A382" s="4" t="s">
        <v>923</v>
      </c>
      <c r="B382" s="4" t="s">
        <v>924</v>
      </c>
      <c r="C382" s="4" t="s">
        <v>925</v>
      </c>
      <c r="D382" s="4" t="s">
        <v>58</v>
      </c>
      <c r="E382" s="4" t="str">
        <f>MID(Timezone[[#This Row],[GMT Offset]], 5, 6) &amp; " - " &amp; Timezone[[#This Row],[Country Name]] &amp; " (" &amp;Timezone[[#This Row],[Time Zone]] &amp; ")"</f>
        <v>+01:00 - United Kingdom (Europe/London)</v>
      </c>
    </row>
    <row r="383" spans="1:5" x14ac:dyDescent="0.2">
      <c r="A383" s="4" t="s">
        <v>926</v>
      </c>
      <c r="B383" s="4" t="s">
        <v>927</v>
      </c>
      <c r="C383" s="4" t="s">
        <v>928</v>
      </c>
      <c r="D383" s="4" t="s">
        <v>381</v>
      </c>
      <c r="E383" s="4" t="str">
        <f>MID(Timezone[[#This Row],[GMT Offset]], 5, 6) &amp; " - " &amp; Timezone[[#This Row],[Country Name]] &amp; " (" &amp;Timezone[[#This Row],[Time Zone]] &amp; ")"</f>
        <v>-09:00 - United States (America/Adak)</v>
      </c>
    </row>
    <row r="384" spans="1:5" x14ac:dyDescent="0.2">
      <c r="A384" s="4" t="s">
        <v>926</v>
      </c>
      <c r="B384" s="4" t="s">
        <v>927</v>
      </c>
      <c r="C384" s="4" t="s">
        <v>929</v>
      </c>
      <c r="D384" s="4" t="s">
        <v>710</v>
      </c>
      <c r="E384" s="4" t="str">
        <f>MID(Timezone[[#This Row],[GMT Offset]], 5, 6) &amp; " - " &amp; Timezone[[#This Row],[Country Name]] &amp; " (" &amp;Timezone[[#This Row],[Time Zone]] &amp; ")"</f>
        <v>-08:00 - United States (America/Anchorage)</v>
      </c>
    </row>
    <row r="385" spans="1:5" x14ac:dyDescent="0.2">
      <c r="A385" s="4" t="s">
        <v>926</v>
      </c>
      <c r="B385" s="4" t="s">
        <v>927</v>
      </c>
      <c r="C385" s="4" t="s">
        <v>930</v>
      </c>
      <c r="D385" s="4" t="s">
        <v>161</v>
      </c>
      <c r="E385" s="4" t="str">
        <f>MID(Timezone[[#This Row],[GMT Offset]], 5, 6) &amp; " - " &amp; Timezone[[#This Row],[Country Name]] &amp; " (" &amp;Timezone[[#This Row],[Time Zone]] &amp; ")"</f>
        <v>-06:00 - United States (America/Boise)</v>
      </c>
    </row>
    <row r="386" spans="1:5" x14ac:dyDescent="0.2">
      <c r="A386" s="4" t="s">
        <v>926</v>
      </c>
      <c r="B386" s="4" t="s">
        <v>927</v>
      </c>
      <c r="C386" s="4" t="s">
        <v>931</v>
      </c>
      <c r="D386" s="4" t="s">
        <v>192</v>
      </c>
      <c r="E386" s="4" t="str">
        <f>MID(Timezone[[#This Row],[GMT Offset]], 5, 6) &amp; " - " &amp; Timezone[[#This Row],[Country Name]] &amp; " (" &amp;Timezone[[#This Row],[Time Zone]] &amp; ")"</f>
        <v>-05:00 - United States (America/Chicago)</v>
      </c>
    </row>
    <row r="387" spans="1:5" x14ac:dyDescent="0.2">
      <c r="A387" s="4" t="s">
        <v>926</v>
      </c>
      <c r="B387" s="4" t="s">
        <v>927</v>
      </c>
      <c r="C387" s="4" t="s">
        <v>932</v>
      </c>
      <c r="D387" s="4" t="s">
        <v>161</v>
      </c>
      <c r="E387" s="4" t="str">
        <f>MID(Timezone[[#This Row],[GMT Offset]], 5, 6) &amp; " - " &amp; Timezone[[#This Row],[Country Name]] &amp; " (" &amp;Timezone[[#This Row],[Time Zone]] &amp; ")"</f>
        <v>-06:00 - United States (America/Denver)</v>
      </c>
    </row>
    <row r="388" spans="1:5" x14ac:dyDescent="0.2">
      <c r="A388" s="4" t="s">
        <v>926</v>
      </c>
      <c r="B388" s="4" t="s">
        <v>927</v>
      </c>
      <c r="C388" s="4" t="s">
        <v>933</v>
      </c>
      <c r="D388" s="4" t="s">
        <v>72</v>
      </c>
      <c r="E388" s="4" t="str">
        <f>MID(Timezone[[#This Row],[GMT Offset]], 5, 6) &amp; " - " &amp; Timezone[[#This Row],[Country Name]] &amp; " (" &amp;Timezone[[#This Row],[Time Zone]] &amp; ")"</f>
        <v>-04:00 - United States (America/Detroit)</v>
      </c>
    </row>
    <row r="389" spans="1:5" x14ac:dyDescent="0.2">
      <c r="A389" s="4" t="s">
        <v>926</v>
      </c>
      <c r="B389" s="4" t="s">
        <v>927</v>
      </c>
      <c r="C389" s="4" t="s">
        <v>934</v>
      </c>
      <c r="D389" s="4" t="s">
        <v>72</v>
      </c>
      <c r="E389" s="4" t="str">
        <f>MID(Timezone[[#This Row],[GMT Offset]], 5, 6) &amp; " - " &amp; Timezone[[#This Row],[Country Name]] &amp; " (" &amp;Timezone[[#This Row],[Time Zone]] &amp; ")"</f>
        <v>-04:00 - United States (America/Indiana/Indianapolis)</v>
      </c>
    </row>
    <row r="390" spans="1:5" x14ac:dyDescent="0.2">
      <c r="A390" s="4" t="s">
        <v>926</v>
      </c>
      <c r="B390" s="4" t="s">
        <v>927</v>
      </c>
      <c r="C390" s="4" t="s">
        <v>935</v>
      </c>
      <c r="D390" s="4" t="s">
        <v>192</v>
      </c>
      <c r="E390" s="4" t="str">
        <f>MID(Timezone[[#This Row],[GMT Offset]], 5, 6) &amp; " - " &amp; Timezone[[#This Row],[Country Name]] &amp; " (" &amp;Timezone[[#This Row],[Time Zone]] &amp; ")"</f>
        <v>-05:00 - United States (America/Indiana/Knox)</v>
      </c>
    </row>
    <row r="391" spans="1:5" x14ac:dyDescent="0.2">
      <c r="A391" s="4" t="s">
        <v>926</v>
      </c>
      <c r="B391" s="4" t="s">
        <v>927</v>
      </c>
      <c r="C391" s="4" t="s">
        <v>936</v>
      </c>
      <c r="D391" s="4" t="s">
        <v>72</v>
      </c>
      <c r="E391" s="4" t="str">
        <f>MID(Timezone[[#This Row],[GMT Offset]], 5, 6) &amp; " - " &amp; Timezone[[#This Row],[Country Name]] &amp; " (" &amp;Timezone[[#This Row],[Time Zone]] &amp; ")"</f>
        <v>-04:00 - United States (America/Indiana/Marengo)</v>
      </c>
    </row>
    <row r="392" spans="1:5" x14ac:dyDescent="0.2">
      <c r="A392" s="4" t="s">
        <v>926</v>
      </c>
      <c r="B392" s="4" t="s">
        <v>927</v>
      </c>
      <c r="C392" s="4" t="s">
        <v>937</v>
      </c>
      <c r="D392" s="4" t="s">
        <v>72</v>
      </c>
      <c r="E392" s="4" t="str">
        <f>MID(Timezone[[#This Row],[GMT Offset]], 5, 6) &amp; " - " &amp; Timezone[[#This Row],[Country Name]] &amp; " (" &amp;Timezone[[#This Row],[Time Zone]] &amp; ")"</f>
        <v>-04:00 - United States (America/Indiana/Petersburg)</v>
      </c>
    </row>
    <row r="393" spans="1:5" x14ac:dyDescent="0.2">
      <c r="A393" s="4" t="s">
        <v>926</v>
      </c>
      <c r="B393" s="4" t="s">
        <v>927</v>
      </c>
      <c r="C393" s="4" t="s">
        <v>938</v>
      </c>
      <c r="D393" s="4" t="s">
        <v>192</v>
      </c>
      <c r="E393" s="4" t="str">
        <f>MID(Timezone[[#This Row],[GMT Offset]], 5, 6) &amp; " - " &amp; Timezone[[#This Row],[Country Name]] &amp; " (" &amp;Timezone[[#This Row],[Time Zone]] &amp; ")"</f>
        <v>-05:00 - United States (America/Indiana/Tell_City)</v>
      </c>
    </row>
    <row r="394" spans="1:5" x14ac:dyDescent="0.2">
      <c r="A394" s="4" t="s">
        <v>926</v>
      </c>
      <c r="B394" s="4" t="s">
        <v>927</v>
      </c>
      <c r="C394" s="4" t="s">
        <v>939</v>
      </c>
      <c r="D394" s="4" t="s">
        <v>72</v>
      </c>
      <c r="E394" s="4" t="str">
        <f>MID(Timezone[[#This Row],[GMT Offset]], 5, 6) &amp; " - " &amp; Timezone[[#This Row],[Country Name]] &amp; " (" &amp;Timezone[[#This Row],[Time Zone]] &amp; ")"</f>
        <v>-04:00 - United States (America/Indiana/Vevay)</v>
      </c>
    </row>
    <row r="395" spans="1:5" x14ac:dyDescent="0.2">
      <c r="A395" s="4" t="s">
        <v>926</v>
      </c>
      <c r="B395" s="4" t="s">
        <v>927</v>
      </c>
      <c r="C395" s="4" t="s">
        <v>940</v>
      </c>
      <c r="D395" s="4" t="s">
        <v>72</v>
      </c>
      <c r="E395" s="4" t="str">
        <f>MID(Timezone[[#This Row],[GMT Offset]], 5, 6) &amp; " - " &amp; Timezone[[#This Row],[Country Name]] &amp; " (" &amp;Timezone[[#This Row],[Time Zone]] &amp; ")"</f>
        <v>-04:00 - United States (America/Indiana/Vincennes)</v>
      </c>
    </row>
    <row r="396" spans="1:5" x14ac:dyDescent="0.2">
      <c r="A396" s="4" t="s">
        <v>926</v>
      </c>
      <c r="B396" s="4" t="s">
        <v>927</v>
      </c>
      <c r="C396" s="4" t="s">
        <v>941</v>
      </c>
      <c r="D396" s="4" t="s">
        <v>72</v>
      </c>
      <c r="E396" s="4" t="str">
        <f>MID(Timezone[[#This Row],[GMT Offset]], 5, 6) &amp; " - " &amp; Timezone[[#This Row],[Country Name]] &amp; " (" &amp;Timezone[[#This Row],[Time Zone]] &amp; ")"</f>
        <v>-04:00 - United States (America/Indiana/Winamac)</v>
      </c>
    </row>
    <row r="397" spans="1:5" x14ac:dyDescent="0.2">
      <c r="A397" s="4" t="s">
        <v>926</v>
      </c>
      <c r="B397" s="4" t="s">
        <v>927</v>
      </c>
      <c r="C397" s="4" t="s">
        <v>942</v>
      </c>
      <c r="D397" s="4" t="s">
        <v>710</v>
      </c>
      <c r="E397" s="4" t="str">
        <f>MID(Timezone[[#This Row],[GMT Offset]], 5, 6) &amp; " - " &amp; Timezone[[#This Row],[Country Name]] &amp; " (" &amp;Timezone[[#This Row],[Time Zone]] &amp; ")"</f>
        <v>-08:00 - United States (America/Juneau)</v>
      </c>
    </row>
    <row r="398" spans="1:5" x14ac:dyDescent="0.2">
      <c r="A398" s="4" t="s">
        <v>926</v>
      </c>
      <c r="B398" s="4" t="s">
        <v>927</v>
      </c>
      <c r="C398" s="4" t="s">
        <v>943</v>
      </c>
      <c r="D398" s="4" t="s">
        <v>72</v>
      </c>
      <c r="E398" s="4" t="str">
        <f>MID(Timezone[[#This Row],[GMT Offset]], 5, 6) &amp; " - " &amp; Timezone[[#This Row],[Country Name]] &amp; " (" &amp;Timezone[[#This Row],[Time Zone]] &amp; ")"</f>
        <v>-04:00 - United States (America/Kentucky/Louisville)</v>
      </c>
    </row>
    <row r="399" spans="1:5" x14ac:dyDescent="0.2">
      <c r="A399" s="4" t="s">
        <v>926</v>
      </c>
      <c r="B399" s="4" t="s">
        <v>927</v>
      </c>
      <c r="C399" s="4" t="s">
        <v>944</v>
      </c>
      <c r="D399" s="4" t="s">
        <v>72</v>
      </c>
      <c r="E399" s="4" t="str">
        <f>MID(Timezone[[#This Row],[GMT Offset]], 5, 6) &amp; " - " &amp; Timezone[[#This Row],[Country Name]] &amp; " (" &amp;Timezone[[#This Row],[Time Zone]] &amp; ")"</f>
        <v>-04:00 - United States (America/Kentucky/Monticello)</v>
      </c>
    </row>
    <row r="400" spans="1:5" x14ac:dyDescent="0.2">
      <c r="A400" s="4" t="s">
        <v>926</v>
      </c>
      <c r="B400" s="4" t="s">
        <v>927</v>
      </c>
      <c r="C400" s="4" t="s">
        <v>945</v>
      </c>
      <c r="D400" s="4" t="s">
        <v>234</v>
      </c>
      <c r="E400" s="4" t="str">
        <f>MID(Timezone[[#This Row],[GMT Offset]], 5, 6) &amp; " - " &amp; Timezone[[#This Row],[Country Name]] &amp; " (" &amp;Timezone[[#This Row],[Time Zone]] &amp; ")"</f>
        <v>-07:00 - United States (America/Los_Angeles)</v>
      </c>
    </row>
    <row r="401" spans="1:5" x14ac:dyDescent="0.2">
      <c r="A401" s="4" t="s">
        <v>926</v>
      </c>
      <c r="B401" s="4" t="s">
        <v>927</v>
      </c>
      <c r="C401" s="4" t="s">
        <v>946</v>
      </c>
      <c r="D401" s="4" t="s">
        <v>192</v>
      </c>
      <c r="E401" s="4" t="str">
        <f>MID(Timezone[[#This Row],[GMT Offset]], 5, 6) &amp; " - " &amp; Timezone[[#This Row],[Country Name]] &amp; " (" &amp;Timezone[[#This Row],[Time Zone]] &amp; ")"</f>
        <v>-05:00 - United States (America/Menominee)</v>
      </c>
    </row>
    <row r="402" spans="1:5" x14ac:dyDescent="0.2">
      <c r="A402" s="4" t="s">
        <v>926</v>
      </c>
      <c r="B402" s="4" t="s">
        <v>927</v>
      </c>
      <c r="C402" s="4" t="s">
        <v>947</v>
      </c>
      <c r="D402" s="4" t="s">
        <v>710</v>
      </c>
      <c r="E402" s="4" t="str">
        <f>MID(Timezone[[#This Row],[GMT Offset]], 5, 6) &amp; " - " &amp; Timezone[[#This Row],[Country Name]] &amp; " (" &amp;Timezone[[#This Row],[Time Zone]] &amp; ")"</f>
        <v>-08:00 - United States (America/Metlakatla)</v>
      </c>
    </row>
    <row r="403" spans="1:5" x14ac:dyDescent="0.2">
      <c r="A403" s="4" t="s">
        <v>926</v>
      </c>
      <c r="B403" s="4" t="s">
        <v>927</v>
      </c>
      <c r="C403" s="4" t="s">
        <v>948</v>
      </c>
      <c r="D403" s="4" t="s">
        <v>72</v>
      </c>
      <c r="E403" s="4" t="str">
        <f>MID(Timezone[[#This Row],[GMT Offset]], 5, 6) &amp; " - " &amp; Timezone[[#This Row],[Country Name]] &amp; " (" &amp;Timezone[[#This Row],[Time Zone]] &amp; ")"</f>
        <v>-04:00 - United States (America/New_York)</v>
      </c>
    </row>
    <row r="404" spans="1:5" x14ac:dyDescent="0.2">
      <c r="A404" s="4" t="s">
        <v>926</v>
      </c>
      <c r="B404" s="4" t="s">
        <v>927</v>
      </c>
      <c r="C404" s="4" t="s">
        <v>949</v>
      </c>
      <c r="D404" s="4" t="s">
        <v>710</v>
      </c>
      <c r="E404" s="4" t="str">
        <f>MID(Timezone[[#This Row],[GMT Offset]], 5, 6) &amp; " - " &amp; Timezone[[#This Row],[Country Name]] &amp; " (" &amp;Timezone[[#This Row],[Time Zone]] &amp; ")"</f>
        <v>-08:00 - United States (America/Nome)</v>
      </c>
    </row>
    <row r="405" spans="1:5" x14ac:dyDescent="0.2">
      <c r="A405" s="4" t="s">
        <v>926</v>
      </c>
      <c r="B405" s="4" t="s">
        <v>927</v>
      </c>
      <c r="C405" s="4" t="s">
        <v>950</v>
      </c>
      <c r="D405" s="4" t="s">
        <v>192</v>
      </c>
      <c r="E405" s="4" t="str">
        <f>MID(Timezone[[#This Row],[GMT Offset]], 5, 6) &amp; " - " &amp; Timezone[[#This Row],[Country Name]] &amp; " (" &amp;Timezone[[#This Row],[Time Zone]] &amp; ")"</f>
        <v>-05:00 - United States (America/North_Dakota/Beulah)</v>
      </c>
    </row>
    <row r="406" spans="1:5" x14ac:dyDescent="0.2">
      <c r="A406" s="4" t="s">
        <v>926</v>
      </c>
      <c r="B406" s="4" t="s">
        <v>927</v>
      </c>
      <c r="C406" s="4" t="s">
        <v>951</v>
      </c>
      <c r="D406" s="4" t="s">
        <v>192</v>
      </c>
      <c r="E406" s="4" t="str">
        <f>MID(Timezone[[#This Row],[GMT Offset]], 5, 6) &amp; " - " &amp; Timezone[[#This Row],[Country Name]] &amp; " (" &amp;Timezone[[#This Row],[Time Zone]] &amp; ")"</f>
        <v>-05:00 - United States (America/North_Dakota/Center)</v>
      </c>
    </row>
    <row r="407" spans="1:5" x14ac:dyDescent="0.2">
      <c r="A407" s="4" t="s">
        <v>926</v>
      </c>
      <c r="B407" s="4" t="s">
        <v>927</v>
      </c>
      <c r="C407" s="4" t="s">
        <v>952</v>
      </c>
      <c r="D407" s="4" t="s">
        <v>192</v>
      </c>
      <c r="E407" s="4" t="str">
        <f>MID(Timezone[[#This Row],[GMT Offset]], 5, 6) &amp; " - " &amp; Timezone[[#This Row],[Country Name]] &amp; " (" &amp;Timezone[[#This Row],[Time Zone]] &amp; ")"</f>
        <v>-05:00 - United States (America/North_Dakota/New_Salem)</v>
      </c>
    </row>
    <row r="408" spans="1:5" x14ac:dyDescent="0.2">
      <c r="A408" s="4" t="s">
        <v>926</v>
      </c>
      <c r="B408" s="4" t="s">
        <v>927</v>
      </c>
      <c r="C408" s="4" t="s">
        <v>953</v>
      </c>
      <c r="D408" s="4" t="s">
        <v>234</v>
      </c>
      <c r="E408" s="4" t="str">
        <f>MID(Timezone[[#This Row],[GMT Offset]], 5, 6) &amp; " - " &amp; Timezone[[#This Row],[Country Name]] &amp; " (" &amp;Timezone[[#This Row],[Time Zone]] &amp; ")"</f>
        <v>-07:00 - United States (America/Phoenix)</v>
      </c>
    </row>
    <row r="409" spans="1:5" x14ac:dyDescent="0.2">
      <c r="A409" s="4" t="s">
        <v>926</v>
      </c>
      <c r="B409" s="4" t="s">
        <v>927</v>
      </c>
      <c r="C409" s="4" t="s">
        <v>954</v>
      </c>
      <c r="D409" s="4" t="s">
        <v>710</v>
      </c>
      <c r="E409" s="4" t="str">
        <f>MID(Timezone[[#This Row],[GMT Offset]], 5, 6) &amp; " - " &amp; Timezone[[#This Row],[Country Name]] &amp; " (" &amp;Timezone[[#This Row],[Time Zone]] &amp; ")"</f>
        <v>-08:00 - United States (America/Sitka)</v>
      </c>
    </row>
    <row r="410" spans="1:5" x14ac:dyDescent="0.2">
      <c r="A410" s="4" t="s">
        <v>926</v>
      </c>
      <c r="B410" s="4" t="s">
        <v>927</v>
      </c>
      <c r="C410" s="4" t="s">
        <v>955</v>
      </c>
      <c r="D410" s="4" t="s">
        <v>710</v>
      </c>
      <c r="E410" s="4" t="str">
        <f>MID(Timezone[[#This Row],[GMT Offset]], 5, 6) &amp; " - " &amp; Timezone[[#This Row],[Country Name]] &amp; " (" &amp;Timezone[[#This Row],[Time Zone]] &amp; ")"</f>
        <v>-08:00 - United States (America/Yakutat)</v>
      </c>
    </row>
    <row r="411" spans="1:5" x14ac:dyDescent="0.2">
      <c r="A411" s="4" t="s">
        <v>926</v>
      </c>
      <c r="B411" s="4" t="s">
        <v>927</v>
      </c>
      <c r="C411" s="4" t="s">
        <v>956</v>
      </c>
      <c r="D411" s="4" t="s">
        <v>298</v>
      </c>
      <c r="E411" s="4" t="str">
        <f>MID(Timezone[[#This Row],[GMT Offset]], 5, 6) &amp; " - " &amp; Timezone[[#This Row],[Country Name]] &amp; " (" &amp;Timezone[[#This Row],[Time Zone]] &amp; ")"</f>
        <v>-10:00 - United States (Pacific/Honolulu)</v>
      </c>
    </row>
    <row r="412" spans="1:5" x14ac:dyDescent="0.2">
      <c r="A412" s="4" t="s">
        <v>957</v>
      </c>
      <c r="B412" s="4" t="s">
        <v>958</v>
      </c>
      <c r="C412" s="4" t="s">
        <v>959</v>
      </c>
      <c r="D412" s="4" t="s">
        <v>62</v>
      </c>
      <c r="E412" s="4" t="str">
        <f>MID(Timezone[[#This Row],[GMT Offset]], 5, 6) &amp; " - " &amp; Timezone[[#This Row],[Country Name]] &amp; " (" &amp;Timezone[[#This Row],[Time Zone]] &amp; ")"</f>
        <v>-11:00 - United States Minor Outlying Islands (Pacific/Midway)</v>
      </c>
    </row>
    <row r="413" spans="1:5" x14ac:dyDescent="0.2">
      <c r="A413" s="4" t="s">
        <v>957</v>
      </c>
      <c r="B413" s="4" t="s">
        <v>958</v>
      </c>
      <c r="C413" s="4" t="s">
        <v>960</v>
      </c>
      <c r="D413" s="4" t="s">
        <v>84</v>
      </c>
      <c r="E413" s="4" t="str">
        <f>MID(Timezone[[#This Row],[GMT Offset]], 5, 6) &amp; " - " &amp; Timezone[[#This Row],[Country Name]] &amp; " (" &amp;Timezone[[#This Row],[Time Zone]] &amp; ")"</f>
        <v>+12:00 - United States Minor Outlying Islands (Pacific/Wake)</v>
      </c>
    </row>
    <row r="414" spans="1:5" x14ac:dyDescent="0.2">
      <c r="A414" s="4" t="s">
        <v>961</v>
      </c>
      <c r="B414" s="4" t="s">
        <v>962</v>
      </c>
      <c r="C414" s="4" t="s">
        <v>963</v>
      </c>
      <c r="D414" s="4" t="s">
        <v>86</v>
      </c>
      <c r="E414" s="4" t="str">
        <f>MID(Timezone[[#This Row],[GMT Offset]], 5, 6) &amp; " - " &amp; Timezone[[#This Row],[Country Name]] &amp; " (" &amp;Timezone[[#This Row],[Time Zone]] &amp; ")"</f>
        <v>-03:00 - Uruguay (America/Montevideo)</v>
      </c>
    </row>
    <row r="415" spans="1:5" x14ac:dyDescent="0.2">
      <c r="A415" s="4" t="s">
        <v>964</v>
      </c>
      <c r="B415" s="4" t="s">
        <v>965</v>
      </c>
      <c r="C415" s="4" t="s">
        <v>966</v>
      </c>
      <c r="D415" s="4" t="s">
        <v>82</v>
      </c>
      <c r="E415" s="4" t="str">
        <f>MID(Timezone[[#This Row],[GMT Offset]], 5, 6) &amp; " - " &amp; Timezone[[#This Row],[Country Name]] &amp; " (" &amp;Timezone[[#This Row],[Time Zone]] &amp; ")"</f>
        <v>+05:00 - Uzbekistan (Asia/Samarkand)</v>
      </c>
    </row>
    <row r="416" spans="1:5" x14ac:dyDescent="0.2">
      <c r="A416" s="4" t="s">
        <v>964</v>
      </c>
      <c r="B416" s="4" t="s">
        <v>965</v>
      </c>
      <c r="C416" s="4" t="s">
        <v>967</v>
      </c>
      <c r="D416" s="4" t="s">
        <v>82</v>
      </c>
      <c r="E416" s="4" t="str">
        <f>MID(Timezone[[#This Row],[GMT Offset]], 5, 6) &amp; " - " &amp; Timezone[[#This Row],[Country Name]] &amp; " (" &amp;Timezone[[#This Row],[Time Zone]] &amp; ")"</f>
        <v>+05:00 - Uzbekistan (Asia/Tashkent)</v>
      </c>
    </row>
    <row r="417" spans="1:5" x14ac:dyDescent="0.2">
      <c r="A417" s="4" t="s">
        <v>968</v>
      </c>
      <c r="B417" s="4" t="s">
        <v>969</v>
      </c>
      <c r="C417" s="4" t="s">
        <v>970</v>
      </c>
      <c r="D417" s="4" t="s">
        <v>118</v>
      </c>
      <c r="E417" s="4" t="str">
        <f>MID(Timezone[[#This Row],[GMT Offset]], 5, 6) &amp; " - " &amp; Timezone[[#This Row],[Country Name]] &amp; " (" &amp;Timezone[[#This Row],[Time Zone]] &amp; ")"</f>
        <v>+11:00 - Vanuatu (Pacific/Efate)</v>
      </c>
    </row>
    <row r="418" spans="1:5" x14ac:dyDescent="0.2">
      <c r="A418" s="4" t="s">
        <v>971</v>
      </c>
      <c r="B418" s="4" t="s">
        <v>972</v>
      </c>
      <c r="C418" s="4" t="s">
        <v>973</v>
      </c>
      <c r="D418" s="4" t="s">
        <v>54</v>
      </c>
      <c r="E418" s="4" t="str">
        <f>MID(Timezone[[#This Row],[GMT Offset]], 5, 6) &amp; " - " &amp; Timezone[[#This Row],[Country Name]] &amp; " (" &amp;Timezone[[#This Row],[Time Zone]] &amp; ")"</f>
        <v>+02:00 - Vatican (Europe/Vatican)</v>
      </c>
    </row>
    <row r="419" spans="1:5" x14ac:dyDescent="0.2">
      <c r="A419" s="4" t="s">
        <v>974</v>
      </c>
      <c r="B419" s="4" t="s">
        <v>975</v>
      </c>
      <c r="C419" s="4" t="s">
        <v>976</v>
      </c>
      <c r="D419" s="4" t="s">
        <v>72</v>
      </c>
      <c r="E419" s="4" t="str">
        <f>MID(Timezone[[#This Row],[GMT Offset]], 5, 6) &amp; " - " &amp; Timezone[[#This Row],[Country Name]] &amp; " (" &amp;Timezone[[#This Row],[Time Zone]] &amp; ")"</f>
        <v>-04:00 - Venezuela (America/Caracas)</v>
      </c>
    </row>
    <row r="420" spans="1:5" x14ac:dyDescent="0.2">
      <c r="A420" s="4" t="s">
        <v>977</v>
      </c>
      <c r="B420" s="4" t="s">
        <v>978</v>
      </c>
      <c r="C420" s="4" t="s">
        <v>979</v>
      </c>
      <c r="D420" s="4" t="s">
        <v>78</v>
      </c>
      <c r="E420" s="4" t="str">
        <f>MID(Timezone[[#This Row],[GMT Offset]], 5, 6) &amp; " - " &amp; Timezone[[#This Row],[Country Name]] &amp; " (" &amp;Timezone[[#This Row],[Time Zone]] &amp; ")"</f>
        <v>+07:00 - Vietnam (Asia/Ho_Chi_Minh)</v>
      </c>
    </row>
    <row r="421" spans="1:5" x14ac:dyDescent="0.2">
      <c r="A421" s="4" t="s">
        <v>980</v>
      </c>
      <c r="B421" s="4" t="s">
        <v>981</v>
      </c>
      <c r="C421" s="4" t="s">
        <v>982</v>
      </c>
      <c r="D421" s="4" t="s">
        <v>84</v>
      </c>
      <c r="E421" s="4" t="str">
        <f>MID(Timezone[[#This Row],[GMT Offset]], 5, 6) &amp; " - " &amp; Timezone[[#This Row],[Country Name]] &amp; " (" &amp;Timezone[[#This Row],[Time Zone]] &amp; ")"</f>
        <v>+12:00 - Wallis and Futuna (Pacific/Wallis)</v>
      </c>
    </row>
    <row r="422" spans="1:5" x14ac:dyDescent="0.2">
      <c r="A422" s="4" t="s">
        <v>983</v>
      </c>
      <c r="B422" s="4" t="s">
        <v>984</v>
      </c>
      <c r="C422" s="4" t="s">
        <v>985</v>
      </c>
      <c r="D422" s="4" t="s">
        <v>58</v>
      </c>
      <c r="E422" s="4" t="str">
        <f>MID(Timezone[[#This Row],[GMT Offset]], 5, 6) &amp; " - " &amp; Timezone[[#This Row],[Country Name]] &amp; " (" &amp;Timezone[[#This Row],[Time Zone]] &amp; ")"</f>
        <v>+01:00 - Western Sahara (Africa/El_Aaiun)</v>
      </c>
    </row>
    <row r="423" spans="1:5" x14ac:dyDescent="0.2">
      <c r="A423" s="4" t="s">
        <v>986</v>
      </c>
      <c r="B423" s="4" t="s">
        <v>987</v>
      </c>
      <c r="C423" s="4" t="s">
        <v>988</v>
      </c>
      <c r="D423" s="4" t="s">
        <v>50</v>
      </c>
      <c r="E423" s="4" t="str">
        <f>MID(Timezone[[#This Row],[GMT Offset]], 5, 6) &amp; " - " &amp; Timezone[[#This Row],[Country Name]] &amp; " (" &amp;Timezone[[#This Row],[Time Zone]] &amp; ")"</f>
        <v>+03:00 - Yemen (Asia/Aden)</v>
      </c>
    </row>
    <row r="424" spans="1:5" x14ac:dyDescent="0.2">
      <c r="A424" s="4" t="s">
        <v>989</v>
      </c>
      <c r="B424" s="4" t="s">
        <v>990</v>
      </c>
      <c r="C424" s="4" t="s">
        <v>991</v>
      </c>
      <c r="D424" s="4" t="s">
        <v>54</v>
      </c>
      <c r="E424" s="4" t="str">
        <f>MID(Timezone[[#This Row],[GMT Offset]], 5, 6) &amp; " - " &amp; Timezone[[#This Row],[Country Name]] &amp; " (" &amp;Timezone[[#This Row],[Time Zone]] &amp; ")"</f>
        <v>+02:00 - Zambia (Africa/Lusaka)</v>
      </c>
    </row>
    <row r="425" spans="1:5" x14ac:dyDescent="0.2">
      <c r="A425" s="4" t="s">
        <v>992</v>
      </c>
      <c r="B425" s="4" t="s">
        <v>993</v>
      </c>
      <c r="C425" s="4" t="s">
        <v>994</v>
      </c>
      <c r="D425" s="4" t="s">
        <v>54</v>
      </c>
      <c r="E425" s="4" t="str">
        <f>MID(Timezone[[#This Row],[GMT Offset]], 5, 6) &amp; " - " &amp; Timezone[[#This Row],[Country Name]] &amp; " (" &amp;Timezone[[#This Row],[Time Zone]] &amp; ")"</f>
        <v>+02:00 - Zimbabwe (Africa/Harare)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>
    <tabColor rgb="FFFF0000"/>
  </sheetPr>
  <dimension ref="A1:K6"/>
  <sheetViews>
    <sheetView workbookViewId="0"/>
  </sheetViews>
  <sheetFormatPr defaultRowHeight="15" customHeight="1" x14ac:dyDescent="0.2"/>
  <cols>
    <col min="1" max="1" width="13.140625" style="4" bestFit="1" customWidth="1"/>
    <col min="2" max="2" width="18.140625" style="4" bestFit="1" customWidth="1"/>
    <col min="3" max="3" width="22.28515625" style="4" bestFit="1" customWidth="1"/>
    <col min="4" max="4" width="15.85546875" style="4" bestFit="1" customWidth="1"/>
    <col min="5" max="5" width="19.7109375" style="4" customWidth="1"/>
    <col min="6" max="6" width="14.42578125" style="4" bestFit="1" customWidth="1"/>
    <col min="7" max="7" width="16" style="4" bestFit="1" customWidth="1"/>
    <col min="8" max="8" width="21.140625" style="4" bestFit="1" customWidth="1"/>
    <col min="9" max="9" width="15.5703125" style="4" bestFit="1" customWidth="1"/>
    <col min="10" max="10" width="38.7109375" style="4" bestFit="1" customWidth="1"/>
    <col min="11" max="11" width="43.7109375" style="4" bestFit="1" customWidth="1"/>
    <col min="12" max="16384" width="9.140625" style="4"/>
  </cols>
  <sheetData>
    <row r="1" spans="1:11" s="13" customFormat="1" ht="30" customHeight="1" x14ac:dyDescent="0.2">
      <c r="A1" s="13" t="s">
        <v>14</v>
      </c>
      <c r="B1" s="13" t="s">
        <v>15</v>
      </c>
      <c r="C1" s="13" t="s">
        <v>16</v>
      </c>
      <c r="D1" s="13" t="s">
        <v>17</v>
      </c>
      <c r="E1" s="13" t="s">
        <v>18</v>
      </c>
      <c r="F1" s="13" t="s">
        <v>19</v>
      </c>
      <c r="G1" s="13" t="s">
        <v>20</v>
      </c>
      <c r="H1" s="13" t="s">
        <v>21</v>
      </c>
      <c r="I1" s="13" t="s">
        <v>22</v>
      </c>
      <c r="J1" s="13" t="s">
        <v>23</v>
      </c>
      <c r="K1" s="19" t="s">
        <v>27</v>
      </c>
    </row>
    <row r="2" spans="1:11" ht="15" customHeight="1" x14ac:dyDescent="0.2">
      <c r="A2" s="14" t="s">
        <v>11</v>
      </c>
      <c r="C2" s="14" t="s">
        <v>12</v>
      </c>
      <c r="D2" s="14">
        <v>16</v>
      </c>
      <c r="E2" s="15">
        <v>43340.405868055554</v>
      </c>
      <c r="F2" s="14" t="s">
        <v>13</v>
      </c>
      <c r="G2" s="14" t="s">
        <v>24</v>
      </c>
      <c r="H2" s="14" t="s">
        <v>25</v>
      </c>
      <c r="I2" s="14">
        <v>13</v>
      </c>
      <c r="J2" s="14" t="s">
        <v>26</v>
      </c>
      <c r="K2" s="14" t="s">
        <v>28</v>
      </c>
    </row>
    <row r="3" spans="1:11" ht="15" customHeight="1" x14ac:dyDescent="0.2">
      <c r="A3" s="14" t="s">
        <v>11</v>
      </c>
      <c r="B3" s="14"/>
      <c r="C3" s="14" t="s">
        <v>12</v>
      </c>
      <c r="D3" s="14">
        <v>16</v>
      </c>
      <c r="E3" s="15">
        <v>43340.651550925926</v>
      </c>
      <c r="F3" s="14" t="s">
        <v>13</v>
      </c>
      <c r="G3" s="14" t="s">
        <v>29</v>
      </c>
      <c r="H3" s="14" t="s">
        <v>30</v>
      </c>
      <c r="I3" s="14">
        <v>91</v>
      </c>
      <c r="J3" s="14" t="s">
        <v>31</v>
      </c>
      <c r="K3" s="4" t="s">
        <v>32</v>
      </c>
    </row>
    <row r="4" spans="1:11" ht="15" customHeight="1" x14ac:dyDescent="0.2">
      <c r="A4" s="14" t="s">
        <v>11</v>
      </c>
      <c r="B4" s="14"/>
      <c r="C4" s="14" t="s">
        <v>12</v>
      </c>
      <c r="D4" s="14">
        <v>16</v>
      </c>
      <c r="E4" s="15">
        <v>43341.485034722224</v>
      </c>
      <c r="F4" s="14" t="s">
        <v>13</v>
      </c>
      <c r="G4" s="14" t="s">
        <v>29</v>
      </c>
      <c r="H4" s="4" t="s">
        <v>996</v>
      </c>
      <c r="I4" s="14">
        <v>-2146697208</v>
      </c>
      <c r="J4" s="14" t="s">
        <v>33</v>
      </c>
      <c r="K4" s="14" t="s">
        <v>34</v>
      </c>
    </row>
    <row r="5" spans="1:11" ht="15" customHeight="1" x14ac:dyDescent="0.2">
      <c r="A5" s="14" t="s">
        <v>11</v>
      </c>
      <c r="B5" s="14" t="s">
        <v>997</v>
      </c>
      <c r="C5" s="14" t="s">
        <v>12</v>
      </c>
      <c r="D5" s="14">
        <v>16</v>
      </c>
      <c r="E5" s="15">
        <v>43348.449803240743</v>
      </c>
      <c r="F5" s="14" t="s">
        <v>998</v>
      </c>
      <c r="G5" s="14" t="s">
        <v>24</v>
      </c>
      <c r="H5" s="14" t="s">
        <v>999</v>
      </c>
      <c r="I5" s="14">
        <v>9</v>
      </c>
      <c r="J5" s="14" t="s">
        <v>1000</v>
      </c>
      <c r="K5" s="14"/>
    </row>
    <row r="6" spans="1:11" ht="15" customHeight="1" x14ac:dyDescent="0.2">
      <c r="A6" s="14" t="s">
        <v>11</v>
      </c>
      <c r="B6" s="14" t="s">
        <v>997</v>
      </c>
      <c r="C6" s="14" t="s">
        <v>12</v>
      </c>
      <c r="D6" s="14">
        <v>16</v>
      </c>
      <c r="E6" s="15">
        <v>43348.450509259259</v>
      </c>
      <c r="F6" s="14" t="s">
        <v>998</v>
      </c>
      <c r="G6" s="14" t="s">
        <v>24</v>
      </c>
      <c r="H6" s="14" t="s">
        <v>999</v>
      </c>
      <c r="I6" s="14">
        <v>9</v>
      </c>
      <c r="J6" s="14" t="s">
        <v>1000</v>
      </c>
      <c r="K6" s="1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Logo" Type="http://schemas.openxmlformats.org/officeDocument/2006/relationships/image" Target="images/Alarm-Clock-Icon.png"/><Relationship Id="maps" Type="http://schemas.openxmlformats.org/officeDocument/2006/relationships/image" Target="images/maps.png"/></Relationships>
</file>

<file path=customUI/customUI14.xml><?xml version="1.0" encoding="utf-8"?>
<customUI xmlns="http://schemas.microsoft.com/office/2009/07/customui" onLoad="Ribbon_Load">
  <ribbon>
    <tabs>
      <tab id="tabTimesheet" getLabel="GetLabelText" insertAfterMso="TabHome">
        <group id="grpDataTools" label="Insert Data" imageMso="MenuGroupCalendars">
          <button id="btnAddDays" label="Add Days" size="large" onAction="OnAction_Button" imageMso="MenuGroupCalendars" screentip="Add Days" getSupertip="GetSupertip"/>
          <separator id="sep1"/>
          <button id="btnAddTimeline" label="Add Timeline" size="large" onAction="OnAction_Button" image="maps" screentip="Add Google Timeline" supertip="Add Google timeline days to current selected table using the downloaded files"/>
          <button id="btnDownloadTimeline" label="Download" onAction="OnAction_Button" image="maps" size="normal" screentip="Download Google Timeline" supertip="This downloads the Google timeline kml file using the start and end dates"/>
          <button id="btnOpenTimeline" label="Open Page" onAction="OnAction_Button" image="maps" size="normal" screentip="Open Google Timeline" supertip="This opens the Google timeline web page."/>
          <comboBox id="cboTimezoneOffset" label=" " onChange="OnChange" getText="GetText" getItemCount="GetItemCount" getItemLabel="GetItemLabel" sizeString="XXX" visible="false" screentip="This is the timezone offset for the Google date/time conversion."/>
          <dropDown id="drpTimezoneOffset" label="UTC:" getItemCount="GetItemCount" getItemID="GetItemID" getItemLabel="GetItemLabel" getSelectedItemID="GetSelectedItemID" onAction="OnAction_Dropdown" sizeString="XXXXXXX" screentip="Timezone Offset" supertip="This is the timezone offset for the Google date/time conversion."/>
        </group>
        <group id="grpDateEntryOptions" label="Date Options" imageMso="DailyView">
          <box id="boxDate0" boxStyle="vertical">
            <labelControl id="lblStartDate" label="Start Date:"/>
            <labelControl id="lblEndDate" label="End Date:"/>
            <labelControl id="lblColumnName" label="Column:"/>
          </box>
          <box id="boxDate1" boxStyle="horizontal">
            <editBox id="txtStartDate" label=" " getText="GetText" onChange="OnChange" sizeString="XXXXXXXXXXXXXX" screentip="Start Date" supertip="The start date to add to the current sheet/table"/>
            <button id="btnGetStartDate" onAction="OnAction_Button" imageMso="GotoCalendar" size="normal" screentip="Select Start Date" supertip="Select the start date to add to the current sheet/table"/>
          </box>
          <box id="boxDate2" boxStyle="horizontal">
            <editBox id="txtEndDate" label=" " getText="GetText" onChange="OnChange" sizeString="XXXXXXXXXXXXXX" screentip="End Date" supertip="The end date to add to the current sheet/table"/>
            <button id="btnGetEndDate" onAction="OnAction_Button" imageMso="GotoCalendar" size="normal" screentip="Select End Date" supertip="Select the end date to add to the current sheet/table"/>
          </box>
          <box id="boxDate3" boxStyle="horizontal">
            <comboBox id="cboColumnNameDate" label=" " onChange="OnChange" getText="GetText" getItemCount="GetItemCount" getItemLabel="GetItemLabel" sizeString="XXXXXXXXXXXX" screentip="This is the column name for the date insert"/>
            <button id="btnRefreshColumnNames" onAction="OnAction_Button" imageMso="Refresh" size="normal" screentip="Refresh Column Names" supertip="Refresh the column names with the active listobject"/>
          </box>
          <box id="boxDate4" boxStyle="vertical">
            <button id="btnFillCurrentWeek" label="Current Week" onAction="OnAction_Button" imageMso="AutoFormatDialog" size="large" screentip="Select Current Week" supertip="Select the current week date to add to the current sheet/table"/>
            <button id="btnFillMaxWeek" label="Next 7 Days" onAction="OnAction_Button" imageMso="HeaderFooterCurrentDate" size="large" screentip="Select Next 7 Days" supertip="Select the next 7 days from the maximum date entry to add to the current sheet/table"/>
            <button id="btnFilterTable" label="Filter Table" onAction="OnAction_Button" imageMso="AutoFilterClassic" size="large" screentip="Filter Table With Dates" supertip="The table will be filtered by the start and end dates"/>
          </box>
        </group>
        <group id="grpDaysEntryOptions" label="Day Options" imageMso="WorkWeek">
          <box id="boxSun" boxStyle="vertical">
            <labelControl id="lblSun" label="Sun"/>
            <checkBox id="chkSun" label=" " getPressed="GetPressed" onAction="OnAction_Boolean"/>
          </box>
          <box id="boxMon" boxStyle="vertical">
            <labelControl id="lblMon" label="Mon"/>
            <checkBox id="chkMon" label=" " getPressed="GetPressed" onAction="OnAction_Boolean"/>
          </box>
          <box id="boxTue" boxStyle="vertical">
            <labelControl id="lblTue" label="Tue"/>
            <checkBox id="chkTue" label=" " getPressed="GetPressed" onAction="OnAction_Boolean"/>
          </box>
          <box id="boxWed" boxStyle="vertical">
            <labelControl id="lblWed" label="Wed"/>
            <checkBox id="chkWed" label=" " getPressed="GetPressed" onAction="OnAction_Boolean"/>
          </box>
          <box id="boxThu" boxStyle="vertical">
            <labelControl id="lblThu" label="Thu"/>
            <checkBox id="chkThu" label=" " getPressed="GetPressed" onAction="OnAction_Boolean"/>
          </box>
          <box id="boxFri" boxStyle="vertical">
            <labelControl id="lblFri" label="Fri"/>
            <checkBox id="chkFri" label=" " getPressed="GetPressed" onAction="OnAction_Boolean"/>
          </box>
          <box id="boxSat" boxStyle="vertical">
            <labelControl id="lblSat" label="Sat"/>
            <checkBox id="chkSat" label=" " getPressed="GetPressed" onAction="OnAction_Boolean"/>
          </box>
        </group>
        <group id="grpTimeEntryOptions" label="Time Options" imageMso="TimeScaleMenu">
          <box id="boxTime0" boxStyle="vertical">
            <labelControl id="lblStartTime" label="Start Time:"/>
            <labelControl id="lblEndTime" label="End Time:"/>
            <labelControl id="lblBreakTime" label="Break Time:"/>
          </box>
          <box id="boxTime1" boxStyle="vertical">
            <box id="boxTime2" boxStyle="horizontal">
              <comboBox id="cboStartTime" label=" " onChange="OnChange" getText="GetText" getItemCount="GetItemCount" getItemLabel="GetItemLabel" sizeString="XXXXXXXX" screentip="This is the column name for the start time insert"/>
              <button id="btnRefreshColumnNames1" onAction="OnAction_Button" imageMso="Refresh" size="normal" screentip="Refresh Column Names" supertip="Refresh the column names with the active listobject"/>
            </box>
            <box id="boxTime3" boxStyle="horizontal">
              <comboBox id="cboEndTime" label=" " onChange="OnChange" getText="GetText" getItemCount="GetItemCount" getItemLabel="GetItemLabel" sizeString="XXXXXXXX" screentip="This is the column name for the end time insert"/>
              <button id="btnRefreshColumnNames2" onAction="OnAction_Button" imageMso="Refresh" size="normal" screentip="Refresh Column Names" supertip="Refresh the column names with the active listobject"/>
            </box>
            <box id="boxTime4" boxStyle="horizontal">
              <comboBox id="cboBreakTime" label=" " onChange="OnChange" getText="GetText" getItemCount="GetItemCount" getItemLabel="GetItemLabel" sizeString="XXXXXXXX" screentip="This is the column name for the break time insert"/>
              <button id="btnRefreshColumnNames3" onAction="OnAction_Button" imageMso="Refresh" size="normal" screentip="Refresh Column Names" supertip="Refresh the column names with the active listobject"/>
            </box>
          </box>
          <box id="boxTime5" boxStyle="vertical">
            <editBox id="txtStartTime" label=" " getText="GetText" onChange="OnChange" sizeString="XXXXXXX" screentip="Start Time" supertip="The start time to add to the current sheet/table"/>
            <editBox id="txtEndTime" label=" " getText="GetText" onChange="OnChange" sizeString="XXXXXXX" screentip="End Time" supertip="The end time to add to the current sheet/table"/>
            <editBox id="txtBreakTime" label=" " getText="GetText" onChange="OnChange" sizeString="XXXXXXX" screentip="Break Time" supertip="The break time to add to the current sheet/table"/>
          </box>
        </group>
        <group label="Tools" id="grpOptions" imageMso="PropertySheet">
          <button id="btnSettings" label="Settings" onAction="OnAction_Button" imageMso="PropertySheet" size="normal" screentip="Setting Form" supertip="This opens the settings form. The settings are stored as custom properties and can be changed by double-clicking the item or using the update button."/>
          <toggleButton id="tglShowErrorLog" label="View Errors" getPressed="GetPressed" onAction="OnAction_Boolean" imageMso="MacroSecurity" size="normal" screentip="Show/Hide Error Log" supertip="This will show or hide a sheet with the error log."/>
          <control idMso="VisualBasic" size="normal" visible="false"/>
          <button id="btnExportCode" label="Export Code" onAction="OnAction_Button" imageMso="VisualBasic" size="normal" visible="true" screentip="Export VBA and XML (F11)" supertip="This will export the VBA and XML for this file to the current directory."/>
        </group>
        <group label="About" id="grpAbout" imageMso="Info">
          <labelControl id="lblDescription" label="Add-In Name: " enabled="false"/>
          <labelControl id="lblReleaseDate" label="Release Date: " enabled="false"/>
          <labelControl id="lblCopyright" label="Copyright: " enabled="false"/>
          <box id="boxCopyright" boxStyle="horizontal">
            <button id="btnCopyrightLogo" enabled="false" image="Logo" size="normal"/>
            <labelControl id="txtDescription" getLabel="GetLabelText" enabled="false"/>
          </box>
          <labelControl id="txtReleaseDate" getLabel="GetLabelText" enabled="false"/>
          <labelControl id="txtCopyright" getLabel="GetLabelText" enabled="false"/>
        </group>
      </tab>
    </tabs>
  </ribbon>
  <contextMenus>
    <contextMenu idMso="ContextMenuListRange">
      <button id="btnContextAddDays" label="Add Days" insertBeforeMso="Cut" onAction="OnAction_Button" imageMso="MenuGroupCalendars" screentip="Add Days" getSupertip="GetSupertip"/>
    </contextMenu>
  </contextMenus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F62C79-C7DF-44BA-A422-99FE60BD348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DUGUID, Anthony (WGPSN)</dc:creator>
  <cp:lastModifiedBy>Duguid, Tony</cp:lastModifiedBy>
  <dcterms:created xsi:type="dcterms:W3CDTF">1996-10-14T23:33:28Z</dcterms:created>
  <dcterms:modified xsi:type="dcterms:W3CDTF">2018-09-20T00:35:41Z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_Author">
    <vt:lpwstr>Anthony Duguid</vt:lpwstr>
  </property>
  <property fmtid="{D5CDD505-2E9C-101B-9397-08002B2CF9AE}" pid="3" name="App_Version">
    <vt:lpwstr>1.8</vt:lpwstr>
  </property>
  <property fmtid="{D5CDD505-2E9C-101B-9397-08002B2CF9AE}" pid="4" name="App_Name">
    <vt:lpwstr>Timesheet</vt:lpwstr>
  </property>
  <property fmtid="{D5CDD505-2E9C-101B-9397-08002B2CF9AE}" pid="5" name="App_ReleaseDate">
    <vt:filetime>2018-09-19T05:59:59Z</vt:filetime>
  </property>
  <property fmtid="{D5CDD505-2E9C-101B-9397-08002B2CF9AE}" pid="6" name="ColumnName_Address">
    <vt:lpwstr>Address</vt:lpwstr>
  </property>
  <property fmtid="{D5CDD505-2E9C-101B-9397-08002B2CF9AE}" pid="7" name="ColumnName_Date">
    <vt:lpwstr>Date</vt:lpwstr>
  </property>
  <property fmtid="{D5CDD505-2E9C-101B-9397-08002B2CF9AE}" pid="8" name="ColumnName_TimeBreak">
    <vt:lpwstr>Break</vt:lpwstr>
  </property>
  <property fmtid="{D5CDD505-2E9C-101B-9397-08002B2CF9AE}" pid="9" name="ColumnName_TimeEnd">
    <vt:lpwstr>Finish</vt:lpwstr>
  </property>
  <property fmtid="{D5CDD505-2E9C-101B-9397-08002B2CF9AE}" pid="10" name="ColumnName_TimeStart">
    <vt:lpwstr>Start</vt:lpwstr>
  </property>
  <property fmtid="{D5CDD505-2E9C-101B-9397-08002B2CF9AE}" pid="11" name="ColumnName_Title">
    <vt:lpwstr>Title</vt:lpwstr>
  </property>
  <property fmtid="{D5CDD505-2E9C-101B-9397-08002B2CF9AE}" pid="12" name="Default_DateEnd">
    <vt:filetime>2018-09-14T14:00:00Z</vt:filetime>
  </property>
  <property fmtid="{D5CDD505-2E9C-101B-9397-08002B2CF9AE}" pid="13" name="Default_DateStart">
    <vt:filetime>2018-09-08T14:00:00Z</vt:filetime>
  </property>
  <property fmtid="{D5CDD505-2E9C-101B-9397-08002B2CF9AE}" pid="14" name="Default_TimeBreak">
    <vt:lpwstr>00:15</vt:lpwstr>
  </property>
  <property fmtid="{D5CDD505-2E9C-101B-9397-08002B2CF9AE}" pid="15" name="Default_TimeEnd">
    <vt:lpwstr>17:00</vt:lpwstr>
  </property>
  <property fmtid="{D5CDD505-2E9C-101B-9397-08002B2CF9AE}" pid="16" name="Default_TimeStart">
    <vt:lpwstr>08:30</vt:lpwstr>
  </property>
  <property fmtid="{D5CDD505-2E9C-101B-9397-08002B2CF9AE}" pid="17" name="Google_LocalSite">
    <vt:lpwstr>https://www.google.com.au/</vt:lpwstr>
  </property>
  <property fmtid="{D5CDD505-2E9C-101B-9397-08002B2CF9AE}" pid="18" name="Google_TimelineFilterApply">
    <vt:bool>true</vt:bool>
  </property>
  <property fmtid="{D5CDD505-2E9C-101B-9397-08002B2CF9AE}" pid="19" name="Google_TimelineFilterTitle">
    <vt:lpwstr>Work; Driving; Moving</vt:lpwstr>
  </property>
  <property fmtid="{D5CDD505-2E9C-101B-9397-08002B2CF9AE}" pid="20" name="Google_TimelineToday">
    <vt:lpwstr>maps/timeline?hl=en&amp;authuser=0&amp;pb=!1m2!1m1!1s2018-09-20</vt:lpwstr>
  </property>
  <property fmtid="{D5CDD505-2E9C-101B-9397-08002B2CF9AE}" pid="21" name="Google_TimezoneOffset">
    <vt:r8>10</vt:r8>
  </property>
  <property fmtid="{D5CDD505-2E9C-101B-9397-08002B2CF9AE}" pid="22" name="Google_TimezoneUtc">
    <vt:lpwstr>+10:00 - Australia (Australia/Melbourne)</vt:lpwstr>
  </property>
  <property fmtid="{D5CDD505-2E9C-101B-9397-08002B2CF9AE}" pid="23" name="Options_ShowErrorLog">
    <vt:bool>false</vt:bool>
  </property>
  <property fmtid="{D5CDD505-2E9C-101B-9397-08002B2CF9AE}" pid="24" name="Week_IsSun">
    <vt:bool>false</vt:bool>
  </property>
  <property fmtid="{D5CDD505-2E9C-101B-9397-08002B2CF9AE}" pid="25" name="Week_IsMon">
    <vt:bool>true</vt:bool>
  </property>
  <property fmtid="{D5CDD505-2E9C-101B-9397-08002B2CF9AE}" pid="26" name="Week_IsTue">
    <vt:bool>true</vt:bool>
  </property>
  <property fmtid="{D5CDD505-2E9C-101B-9397-08002B2CF9AE}" pid="27" name="Week_IsWed">
    <vt:bool>true</vt:bool>
  </property>
  <property fmtid="{D5CDD505-2E9C-101B-9397-08002B2CF9AE}" pid="28" name="Week_IsThu">
    <vt:bool>true</vt:bool>
  </property>
  <property fmtid="{D5CDD505-2E9C-101B-9397-08002B2CF9AE}" pid="29" name="Week_IsFri">
    <vt:bool>true</vt:bool>
  </property>
  <property fmtid="{D5CDD505-2E9C-101B-9397-08002B2CF9AE}" pid="30" name="Week_IsSat">
    <vt:bool>false</vt:bool>
  </property>
</Properties>
</file>