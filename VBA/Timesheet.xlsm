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esktop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<sst xmlns="http://schemas.openxmlformats.org/spreadsheetml/2006/main" count="1760" uniqueCount="1001">
  <si>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</si>
  <si>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</si>
  <si>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</si>
  <si>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</si>
  <si>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</si>
  <si>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</si>
  <si>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</si>
  <si>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</si>
  <si>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</si>
  <si>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</si>
  <si>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</si>
  <si>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</si>
  <si>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</si>
  <si>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</si>
  <si>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</si>
  <si>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</si>
  <si>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</si>
  <si>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</si>
  <si>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</si>
  <si>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</si>
  <si>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</si>
  <si>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</si>
  <si>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</si>
  <si>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</si>
  <si>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</si>
  <si>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</si>
  <si>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</si>
  <si>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</si>
  <si>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</si>
  <si>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</si>
  <si>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</si>
  <si>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</si>
  <si>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</si>
  <si>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</si>
  <si>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</si>
  <si>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</si>
  <si>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</si>
  <si>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</si>
  <si>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</si>
  <si>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</si>
  <si>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</si>
  <si>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</si>
  <si>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</si>
  <si>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</si>
  <si>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</si>
  <si>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</si>
  <si>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</si>
  <si>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</si>
  <si>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</si>
  <si>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</si>
  <si>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</si>
  <si>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</si>
  <si>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</si>
  <si>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</si>
  <si>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</si>
  <si>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</si>
  <si>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</si>
  <si>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</si>
  <si>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</si>
  <si>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</si>
  <si>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</si>
  <si>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</si>
  <si>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</si>
  <si>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</si>
  <si>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</si>
  <si>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</si>
  <si>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</si>
  <si>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</si>
  <si>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</si>
  <si>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</si>
  <si>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</si>
  <si>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</si>
  <si>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</si>
  <si>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</si>
  <si>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</si>
  <si>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</si>
  <si>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</si>
  <si>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</si>
  <si>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</si>
  <si>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</si>
  <si>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</si>
  <si>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</si>
  <si>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</si>
  <si>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</si>
  <si>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</si>
  <si>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</si>
  <si>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</si>
  <si>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</si>
  <si>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</si>
  <si>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</si>
  <si>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</si>
  <si>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</si>
  <si>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</si>
  <si>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</si>
  <si>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</si>
  <si>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</si>
  <si>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</si>
  <si>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</si>
  <si>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</si>
  <si>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</si>
  <si>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</si>
  <si>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</si>
  <si>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</si>
  <si>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</si>
  <si>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</si>
  <si>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</si>
  <si>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</si>
  <si>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</si>
  <si>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</si>
  <si>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</si>
  <si>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</si>
  <si>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</si>
  <si>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</si>
  <si>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</si>
  <si>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</si>
  <si>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</si>
  <si>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</si>
  <si>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</si>
  <si>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</si>
  <si>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</si>
  <si>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</si>
  <si>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</si>
  <si>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</si>
  <si>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</si>
  <si>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</si>
  <si>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</si>
  <si>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</si>
  <si>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</si>
  <si>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</si>
  <si>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</si>
  <si>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</si>
  <si>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</si>
  <si>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</si>
  <si>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</si>
  <si>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</si>
  <si>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</si>
  <si>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</si>
  <si>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</si>
  <si>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</si>
  <si>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</si>
  <si>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</si>
  <si>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</si>
  <si>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</si>
  <si>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</si>
  <si>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</si>
  <si>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</si>
  <si>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</si>
  <si>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</si>
  <si>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</si>
  <si>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</si>
  <si>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</si>
  <si>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</si>
  <si>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</si>
  <si>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</si>
  <si>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</si>
  <si>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</si>
  <si>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</si>
  <si>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</si>
  <si>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</si>
  <si>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</si>
  <si>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</si>
  <si>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</si>
  <si>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</si>
  <si>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</si>
  <si>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</si>
  <si>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</si>
  <si>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</si>
  <si>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</si>
  <si>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</si>
  <si>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</si>
  <si>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</si>
  <si>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</si>
  <si>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</si>
  <si>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</si>
  <si>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</si>
  <si>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</si>
  <si>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</si>
  <si>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</si>
  <si>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</si>
  <si>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</si>
  <si>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</si>
  <si>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</si>
  <si>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</si>
  <si>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</si>
  <si>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</si>
  <si>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</si>
  <si>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</si>
  <si>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</si>
  <si>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</si>
  <si>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</si>
  <si>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</si>
  <si>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</si>
  <si>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</si>
  <si>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</si>
  <si>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</si>
  <si>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</si>
  <si>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</si>
  <si>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</si>
  <si>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</si>
  <si>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</si>
  <si>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</si>
  <si>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</si>
  <si>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</si>
  <si>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</si>
  <si>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</si>
  <si>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</si>
  <si>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</si>
  <si>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</si>
  <si>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</si>
  <si>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</si>
  <si>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</si>
  <si>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</si>
  <si>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</si>
  <si>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</si>
  <si>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</si>
  <si>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</si>
  <si>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</si>
  <si>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</si>
  <si>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</si>
  <si>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</si>
  <si>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</si>
  <si>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</si>
  <si>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</si>
  <si>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</si>
  <si>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</si>
  <si>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</si>
  <si>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</si>
  <si>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</si>
  <si>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</si>
  <si>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</si>
  <si>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</si>
  <si>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</si>
  <si>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</si>
  <si>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</si>
  <si>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</si>
  <si>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</si>
  <si>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</si>
  <si>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</si>
  <si>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</si>
  <si>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</si>
  <si>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</si>
  <si>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</si>
  <si>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</si>
  <si>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</si>
  <si>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</si>
  <si>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</si>
  <si>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</si>
  <si>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</si>
  <si>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</si>
  <si>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</si>
  <si>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</si>
  <si>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</si>
  <si>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</si>
  <si>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</si>
  <si>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</si>
  <si>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</si>
  <si>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</si>
  <si>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</si>
  <si>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</si>
  <si>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</si>
  <si>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</si>
  <si>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</si>
  <si>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</si>
  <si>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</si>
  <si>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</si>
  <si>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</si>
  <si>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</si>
  <si>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</si>
  <si>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</si>
  <si>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</si>
  <si>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</si>
  <si>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</si>
  <si>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</si>
  <si>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</si>
  <si>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</si>
  <si>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</si>
  <si>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</si>
  <si>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</si>
  <si>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</si>
  <si>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</si>
  <si>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</si>
  <si>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</si>
  <si>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</si>
  <si>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</si>
  <si>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</si>
  <si>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</si>
  <si>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</si>
  <si>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</si>
  <si>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</si>
  <si>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</si>
  <si>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</si>
  <si>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</si>
  <si>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</si>
  <si>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</si>
  <si>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</si>
  <si>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</si>
  <si>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</si>
  <si>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</si>
  <si>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</si>
  <si>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</si>
  <si>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</si>
  <si>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</si>
  <si>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</si>
  <si>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</si>
  <si>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</si>
  <si>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</si>
  <si>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</si>
  <si>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</si>
  <si>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</si>
  <si>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</si>
  <si>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</si>
  <si>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</si>
  <si>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</si>
  <si>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</si>
  <si>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</si>
  <si>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</si>
  <si>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</si>
  <si>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</si>
  <si>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</si>
  <si>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</si>
  <si>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</si>
  <si>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</si>
  <si>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</si>
  <si>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</si>
  <si>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</si>
  <si>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</si>
  <si>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</si>
  <si>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</si>
  <si>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</si>
  <si>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</si>
  <si>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</si>
  <si>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</si>
  <si>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</si>
  <si>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</si>
  <si>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</si>
  <si>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</si>
  <si>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</si>
  <si>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</si>
  <si>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</si>
  <si>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</si>
  <si>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</si>
  <si>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</si>
  <si>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</si>
  <si>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</si>
  <si>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</si>
  <si>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</si>
  <si>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</si>
  <si>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</si>
  <si>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</si>
  <si>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</si>
  <si>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</si>
  <si>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</si>
  <si>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</si>
  <si>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</si>
  <si>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</si>
  <si>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</si>
  <si>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</si>
  <si>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</si>
  <si>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</si>
  <si>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</si>
  <si>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</si>
  <si>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</si>
  <si>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</si>
  <si>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</si>
  <si>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</si>
  <si>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</si>
  <si>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</si>
  <si>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</si>
  <si>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</si>
  <si>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</si>
  <si>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</si>
  <si>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</si>
  <si>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</si>
  <si>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</si>
  <si>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</si>
  <si>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</si>
  <si>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</si>
  <si>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</si>
  <si>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</si>
  <si>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</si>
  <si>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</si>
  <si>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</si>
  <si>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</si>
  <si>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</si>
  <si>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</si>
  <si>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</si>
  <si>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</si>
  <si>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</si>
  <si>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</si>
  <si>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</si>
  <si>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</si>
  <si>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</si>
  <si>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</si>
  <si>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</si>
  <si>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</si>
  <si>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</si>
  <si>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</si>
  <si>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</si>
  <si>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</si>
  <si>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</si>
  <si>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</si>
  <si>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</si>
  <si>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</si>
  <si>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</si>
  <si>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</si>
  <si>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</si>
  <si>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</si>
  <si>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</si>
  <si>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</si>
  <si>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</si>
  <si>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</si>
  <si>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</si>
  <si>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</si>
  <si>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</si>
  <si>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</si>
  <si>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</si>
  <si>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</si>
  <si>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</si>
  <si>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</si>
  <si>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</si>
  <si>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</si>
  <si>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</si>
  <si>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</si>
  <si>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</si>
  <si>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</si>
  <si>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</si>
  <si>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</si>
  <si>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</si>
  <si>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</si>
  <si>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</si>
  <si>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</si>
  <si>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</si>
  <si>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</si>
  <si>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</si>
  <si>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</si>
  <si>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</si>
  <si>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</si>
  <si>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</si>
  <si>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</si>
  <si>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</si>
  <si>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</si>
  <si>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</si>
  <si>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</si>
  <si>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</si>
  <si>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</si>
  <si>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</si>
  <si>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</si>
  <si>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</si>
  <si>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</si>
  <si>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</si>
  <si>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</si>
  <si>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</si>
  <si>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</si>
  <si>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</si>
  <si>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</si>
  <si>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</si>
  <si>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</si>
  <si>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</si>
  <si>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</si>
  <si>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</si>
  <si>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</si>
  <si>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</si>
  <si>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</si>
  <si>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</si>
  <si>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</si>
  <si>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</si>
  <si>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</si>
  <si>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</si>
  <si>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</si>
  <si>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</si>
  <si>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</si>
  <si>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</si>
  <si>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</si>
  <si>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</si>
  <si>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</si>
  <si>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</si>
  <si>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</si>
  <si>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</si>
  <si>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</si>
  <si>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</si>
  <si>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</si>
  <si>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</si>
  <si>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</si>
  <si>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</si>
  <si>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</si>
  <si>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</si>
  <si>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</si>
  <si>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</si>
  <si>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</si>
  <si>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</si>
  <si>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</si>
  <si>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</si>
  <si>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</si>
  <si>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</si>
  <si>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</si>
  <si>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</si>
  <si>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</si>
  <si>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</si>
  <si>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</si>
  <si>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</si>
  <si>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</si>
  <si>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</si>
  <si>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</si>
  <si>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</si>
  <si>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</si>
  <si>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</si>
  <si>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</si>
  <si>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</si>
  <si>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</si>
  <si>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</si>
  <si>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</si>
  <si>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</si>
  <si>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</si>
  <si>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</si>
  <si>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</si>
  <si>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</si>
  <si>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</si>
  <si>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</si>
  <si>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</si>
  <si>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</si>
  <si>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</si>
  <si>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</si>
  <si>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</si>
  <si>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</si>
  <si>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</si>
  <si>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</si>
  <si>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</si>
  <si>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</si>
  <si>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</si>
  <si>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</si>
  <si>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</si>
  <si>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</si>
  <si>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</si>
  <si>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</si>
  <si>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</si>
  <si>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</si>
  <si>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</si>
  <si>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</si>
  <si>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</si>
  <si>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</si>
  <si>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</si>
  <si>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</si>
  <si>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</si>
  <si>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</si>
  <si>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</si>
  <si>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</si>
  <si>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</si>
  <si>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</si>
  <si>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</si>
  <si>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</si>
  <si>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</si>
  <si>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</si>
  <si>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</si>
  <si>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</si>
  <si>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</si>
  <si>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</si>
  <si>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</si>
  <si>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</si>
  <si>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</si>
  <si>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</si>
  <si>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</si>
  <si>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</si>
  <si>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</si>
  <si>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</si>
  <si>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</si>
  <si>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</si>
  <si>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</si>
  <si>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</si>
  <si>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</si>
  <si>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</si>
  <si>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</si>
  <si>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</si>
  <si>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</si>
  <si>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</si>
  <si>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</si>
  <si>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</si>
  <si>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</si>
  <si>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</si>
  <si>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</si>
  <si>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</si>
  <si>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</si>
  <si>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</si>
  <si>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</si>
  <si>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</si>
  <si>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</si>
  <si>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</si>
  <si>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</si>
  <si>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</si>
  <si>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</si>
  <si>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</si>
  <si>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</si>
  <si>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</si>
  <si>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</si>
  <si>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</si>
  <si>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</si>
  <si>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</si>
  <si>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</si>
  <si>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</si>
  <si>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</si>
  <si>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</si>
  <si>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</si>
  <si>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</si>
  <si>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</si>
  <si>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</si>
  <si>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</si>
  <si>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</si>
  <si>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</si>
  <si>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</si>
  <si>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</si>
  <si>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</si>
  <si>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</si>
  <si>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</si>
  <si>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</si>
  <si>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</si>
  <si>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</si>
  <si>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</si>
  <si>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</si>
  <si>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</si>
  <si>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</si>
  <si>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</si>
  <si>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</si>
  <si>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</si>
  <si>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</si>
  <si>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</si>
  <si>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</si>
  <si>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</si>
  <si>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</si>
  <si>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</si>
  <si>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</si>
  <si>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</si>
  <si>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</si>
  <si>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</si>
  <si>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</si>
  <si>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</si>
  <si>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</si>
  <si>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</si>
  <si>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</si>
  <si>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</si>
  <si>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</si>
  <si>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</si>
  <si>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</si>
  <si>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</si>
  <si>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</si>
  <si>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</si>
  <si>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</si>
  <si>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</si>
  <si>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</si>
  <si>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</si>
  <si>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</si>
  <si>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</si>
  <si>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</si>
  <si>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</si>
  <si>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</si>
  <si>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</si>
  <si>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</si>
  <si>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</si>
  <si>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</si>
  <si>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</si>
  <si>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</si>
  <si>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</si>
  <si>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</si>
  <si>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</si>
  <si>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</si>
  <si>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</si>
  <si>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</si>
  <si>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</si>
  <si>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</si>
  <si>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</si>
  <si>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</si>
  <si>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</si>
  <si>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</si>
  <si>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</si>
  <si>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</si>
  <si>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</si>
  <si>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</si>
  <si>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</si>
  <si>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</si>
  <si>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</si>
  <si>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</si>
  <si>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</si>
  <si>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</si>
  <si>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</si>
  <si>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</si>
  <si>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</si>
  <si>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</si>
  <si>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</si>
  <si>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</si>
  <si>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</si>
  <si>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</si>
  <si>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</si>
  <si>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</si>
  <si>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</si>
  <si>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</si>
  <si>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</si>
  <si>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</si>
  <si>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</si>
  <si>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</si>
  <si>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</si>
  <si>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</si>
  <si>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</si>
  <si>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</si>
  <si>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</si>
  <si>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</si>
  <si>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</si>
  <si>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</si>
  <si>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</si>
  <si>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</si>
  <si>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</si>
  <si>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</si>
  <si>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</si>
  <si>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</si>
  <si>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</si>
  <si>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</si>
  <si>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</si>
  <si>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</si>
  <si>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</si>
  <si>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</si>
  <si>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</si>
  <si>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</si>
  <si>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</si>
  <si>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</si>
  <si>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</si>
  <si>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</si>
  <si>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</si>
  <si>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</si>
  <si>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</si>
  <si>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</si>
  <si>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</si>
  <si>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</si>
  <si>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</si>
  <si>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</si>
  <si>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</si>
  <si>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</si>
  <si>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</si>
  <si>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</si>
  <si>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</si>
  <si>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</si>
  <si>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</si>
  <si>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</si>
  <si>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</si>
  <si>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</si>
  <si>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</si>
  <si>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</si>
  <si>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</si>
  <si>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</si>
  <si>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</si>
  <si>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</si>
  <si>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</si>
  <si>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</si>
  <si>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</si>
  <si>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</si>
  <si>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</si>
  <si>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</si>
  <si>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</si>
  <si>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</si>
  <si>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</si>
  <si>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</si>
  <si>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</si>
  <si>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</si>
  <si>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</si>
  <si>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</si>
  <si>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</si>
  <si>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</si>
  <si>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</si>
  <si>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</si>
  <si>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</si>
  <si>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</si>
  <si>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</si>
  <si>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</si>
  <si>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</si>
  <si>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</si>
  <si>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</si>
  <si>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</si>
  <si>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</si>
  <si>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</si>
  <si>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</si>
  <si>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</si>
  <si>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</si>
  <si>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</si>
  <si>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</si>
  <si>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</si>
  <si>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</si>
  <si>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</si>
  <si>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</si>
  <si>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</si>
  <si>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</si>
  <si>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</si>
  <si>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</si>
  <si>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</si>
  <si>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</si>
  <si>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</si>
  <si>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</si>
  <si>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</si>
  <si>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</si>
  <si>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</si>
  <si>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</si>
  <si>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</si>
  <si>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</si>
  <si>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</si>
  <si>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</si>
  <si>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</si>
  <si>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</si>
  <si>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</si>
  <si>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</si>
  <si>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</si>
  <si>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</si>
  <si>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</si>
  <si>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</si>
  <si>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</si>
  <si>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</si>
  <si>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</si>
  <si>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</si>
  <si>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</si>
  <si>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</si>
  <si>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</si>
  <si>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</si>
  <si>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</si>
  <si>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</si>
  <si>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</si>
  <si>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</si>
  <si>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</si>
  <si>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</si>
  <si>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</si>
  <si>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</si>
  <si>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</si>
  <si>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</si>
  <si>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</si>
  <si>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</si>
  <si>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</si>
  <si>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</si>
  <si>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</si>
  <si>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</si>
  <si>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</si>
  <si>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</si>
  <si>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</si>
  <si>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</si>
  <si>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</si>
  <si>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</si>
  <si>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</si>
  <si>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</si>
  <si>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</si>
  <si>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</si>
  <si>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</si>
  <si>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</si>
  <si>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</si>
  <si>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</si>
  <si>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</si>
  <si>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</si>
  <si>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</si>
  <si>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</si>
  <si>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</si>
  <si>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</si>
  <si>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</si>
  <si>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</si>
  <si>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</si>
  <si>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</si>
  <si>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</si>
  <si>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</si>
  <si>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</si>
  <si>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</si>
  <si>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</si>
  <si>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</si>
  <si>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</si>
  <si>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</si>
  <si>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</si>
  <si>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</si>
  <si>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</si>
  <si>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</si>
  <si>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</si>
  <si>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</si>
  <si>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</si>
  <si>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</si>
  <si>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</si>
  <si>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</si>
  <si>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</si>
  <si>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</si>
  <si>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</si>
  <si>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</si>
  <si>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</si>
  <si>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</si>
  <si>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</si>
  <si>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</si>
  <si>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</si>
  <si>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</si>
  <si>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</si>
  <si>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</si>
  <si>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</si>
  <si>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</si>
  <si>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</si>
  <si>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</si>
  <si>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</si>
  <si>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</si>
  <si>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</si>
  <si>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</si>
  <si>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</si>
  <si>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</si>
  <si>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</si>
  <si>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</si>
  <si>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</si>
  <si>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</si>
  <si>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</si>
  <si>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</si>
  <si>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</si>
  <si>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</si>
  <si>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</si>
  <si>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</si>
  <si>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</si>
  <si>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</si>
  <si>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</si>
  <si>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</si>
  <si>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</si>
  <si>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</si>
  <si>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</si>
  <si>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</si>
  <si>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</si>
  <si>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</si>
  <si>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</si>
  <si>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</si>
  <si>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</si>
  <si>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</si>
  <si>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</si>
  <si>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</si>
  <si>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</si>
  <si>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</si>
  <si>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</si>
  <si>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</si>
  <si>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</si>
  <si>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</si>
  <si>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</si>
  <si>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</si>
  <si>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</si>
  <si>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</si>
  <si>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</si>
  <si>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</si>
  <si>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</si>
  <si>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</si>
  <si>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</si>
  <si>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</si>
  <si>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</si>
  <si>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</si>
  <si>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</si>
  <si>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</si>
  <si>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</si>
  <si>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</si>
  <si>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</si>
  <si>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</si>
  <si>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</si>
  <si>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</si>
  <si>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</si>
  <si>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</si>
  <si>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</si>
  <si>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</si>
  <si>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</si>
  <si>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</si>
  <si>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</si>
  <si>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</si>
  <si>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</si>
  <si>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</si>
  <si>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</si>
  <si>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</si>
  <si>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</si>
  <si>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</si>
  <si>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</si>
  <si>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</si>
  <si>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</si>
  <si>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</si>
  <si>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</si>
  <si>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</si>
  <si>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</si>
  <si>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</si>
  <si>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</si>
  <si>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</si>
  <si>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</si>
  <si>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</si>
  <si>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</si>
  <si>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</si>
  <si>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</si>
  <si>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</si>
  <si>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</si>
  <si>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</si>
  <si>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</si>
  <si>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</si>
  <si>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</si>
  <si>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</si>
  <si>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</si>
  <si>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</si>
  <si>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</si>
  <si>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</si>
  <si>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</si>
  <si>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</si>
  <si>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</si>
  <si>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</si>
  <si>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</si>
  <si>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</si>
  <si>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</si>
  <si>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</si>
  <si>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</si>
  <si>
    <t>NB61300907</t>
  </si>
  <si>
    <t>Timesheet</t>
  </si>
  <si>
    <t>GetItemLabel</t>
  </si>
  <si>
    <t>Subscript out of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</si>
</sst>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4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left"/>
    </xf>
    <xf numFmtId="167" fontId="1" fillId="0" borderId="0" xfId="0" applyNumberFormat="1" applyFont="1" applyFill="1" applyBorder="1" applyAlignment="1">
      <alignment horizontal="center"/>
    </xf>
    <xf numFmtId="20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right" vertical="center" wrapText="1"/>
    </xf>
    <xf numFmtId="2" fontId="1" fillId="0" borderId="0" xfId="0" applyNumberFormat="1" applyFont="1" applyFill="1" applyBorder="1" applyAlignment="1">
      <alignment horizontal="left" vertical="center" wrapText="1"/>
    </xf>
    <xf numFmtId="20" fontId="1" fillId="0" borderId="0" xfId="0" applyNumberFormat="1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right"/>
    </xf>
    <xf numFmtId="20" fontId="1" fillId="0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56">
    <dxf>
      <fill>
        <patternFill>
          <bgColor rgb="FFFFFF99"/>
        </patternFill>
      </fill>
    </dxf>
    <dxf>
      <fill>
        <patternFill>
          <bgColor rgb="FFF8CABE"/>
        </patternFill>
      </fill>
    </dxf>
    <dxf>
      <fill>
        <patternFill>
          <bgColor rgb="FFFFFF99"/>
        </patternFill>
      </fill>
    </dxf>
    <dxf>
      <fill>
        <patternFill>
          <bgColor rgb="FFF8CAB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5" dataDxfId="53" totalsRowDxfId="51" headerRowBorderDxfId="54" tableBorderDxfId="52" totalsRowBorderDxfId="50">
  <autoFilter ref="A1:M6"/>
  <sortState ref="A2:M156">
    <sortCondition ref="G2:G156"/>
    <sortCondition ref="H2:H156"/>
    <sortCondition ref="I2:I156"/>
  </sortState>
  <tableColumns count="13">
    <tableColumn id="9" name="Year" dataDxfId="49" totalsRowDxfId="16">
      <calculatedColumnFormula>TEXT(Timesheet[[#This Row],[Date]], "yyyy")</calculatedColumnFormula>
    </tableColumn>
    <tableColumn id="8" name="Qtr" dataDxfId="48" totalsRowDxfId="15">
      <calculatedColumnFormula>ROUNDUP(MONTH(Timesheet[[#This Row],[Date]])/3,0)</calculatedColumnFormula>
    </tableColumn>
    <tableColumn id="7" name="Month" dataDxfId="47" totalsRowDxfId="14">
      <calculatedColumnFormula>TEXT(Timesheet[[#This Row],[Date]], "mmm")</calculatedColumnFormula>
    </tableColumn>
    <tableColumn id="13" name="Day" dataDxfId="46" totalsRowDxfId="13">
      <calculatedColumnFormula>TEXT(Timesheet[[#This Row],[Date]], "dd")</calculatedColumnFormula>
    </tableColumn>
    <tableColumn id="12" name="Day of Week" dataDxfId="45" totalsRowDxfId="12">
      <calculatedColumnFormula>TEXT(Timesheet[[#This Row],[Date]], "ddd")</calculatedColumnFormula>
    </tableColumn>
    <tableColumn id="6" name="Weekend" dataDxfId="44" totalsRowDxfId="11">
      <calculatedColumnFormula>CEILING(Timesheet[[#This Row],[Date]]-1,7)+1</calculatedColumnFormula>
    </tableColumn>
    <tableColumn id="1" name="Date" dataDxfId="43" totalsRowDxfId="10"/>
    <tableColumn id="3" name="Start" dataDxfId="42" totalsRowDxfId="9"/>
    <tableColumn id="4" name="Finish" dataDxfId="41" totalsRowDxfId="8"/>
    <tableColumn id="11" name="Break" dataDxfId="40" totalsRowDxfId="7"/>
    <tableColumn id="5" name="Total Hours" totalsRowFunction="sum" dataDxfId="39" totalsRowDxfId="6">
      <calculatedColumnFormula>IF(Timesheet[[#This Row],[Finish]] =0, 0, (Timesheet[[#This Row],[Finish]]-Timesheet[[#This Row],[Start]])*24 - (Timesheet[[#This Row],[Break]])*24)</calculatedColumnFormula>
    </tableColumn>
    <tableColumn id="10" name="Title" dataDxfId="38" totalsRowDxfId="5"/>
    <tableColumn id="2" name="Address" dataDxfId="37" totalsRow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36" dataDxfId="35">
  <autoFilter ref="A1:E425"/>
  <tableColumns count="5">
    <tableColumn id="1" name="Country Code" dataDxfId="34"/>
    <tableColumn id="2" name="Country Name" dataDxfId="33"/>
    <tableColumn id="3" name="Time Zone" dataDxfId="32"/>
    <tableColumn id="4" name="GMT Offset" dataDxfId="31"/>
    <tableColumn id="5" name="UTC" dataDxfId="30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6" totalsRowShown="0" headerRowDxfId="29" dataDxfId="28">
  <autoFilter ref="A1:K6"/>
  <tableColumns count="11">
    <tableColumn id="1" name="User Name" dataDxfId="27"/>
    <tableColumn id="2" name="Computer Name" dataDxfId="26"/>
    <tableColumn id="3" name="Operating System" dataDxfId="25"/>
    <tableColumn id="4" name="Excel Version" dataDxfId="24"/>
    <tableColumn id="5" name="Error Datetime" dataDxfId="23"/>
    <tableColumn id="6" name="Sheet Name" dataDxfId="22"/>
    <tableColumn id="7" name="Module Name" dataDxfId="21"/>
    <tableColumn id="8" name="Procedure Name" dataDxfId="20"/>
    <tableColumn id="9" name="Error Number" dataDxfId="19"/>
    <tableColumn id="10" name="Error Description" dataDxfId="18"/>
    <tableColumn id="11" name="Resolution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5" sqref="G5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15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16" t="s">
        <v>38</v>
      </c>
    </row>
    <row r="2" spans="1:13" ht="15" customHeight="1" x14ac:dyDescent="0.2">
      <c r="A2" s="17" t="str">
        <f>TEXT(Timesheet[[#This Row],[Date]], "yyyy")</f>
        <v>2018</v>
      </c>
      <c r="B2" s="18">
        <f>ROUNDUP(MONTH(Timesheet[[#This Row],[Date]])/3,0)</f>
        <v>4</v>
      </c>
      <c r="C2" s="17" t="str">
        <f>TEXT(Timesheet[[#This Row],[Date]], "mmm")</f>
        <v>Oct</v>
      </c>
      <c r="D2" s="17" t="str">
        <f>TEXT(Timesheet[[#This Row],[Date]], "dd")</f>
        <v>01</v>
      </c>
      <c r="E2" s="19" t="str">
        <f>TEXT(Timesheet[[#This Row],[Date]], "ddd")</f>
        <v>Mon</v>
      </c>
      <c r="F2" s="17">
        <f>CEILING(Timesheet[[#This Row],[Date]]-1,7)+1</f>
        <v>43380</v>
      </c>
      <c r="G2" s="17">
        <v>43374</v>
      </c>
      <c r="H2" s="20">
        <v>0.35416666666666669</v>
      </c>
      <c r="I2" s="20">
        <v>0.70833333333333337</v>
      </c>
      <c r="J2" s="21">
        <v>1.0416666666666666E-2</v>
      </c>
      <c r="K2" s="22">
        <f>IF(Timesheet[[#This Row],[Finish]] =0, 0, (Timesheet[[#This Row],[Finish]]-Timesheet[[#This Row],[Start]])*24 - (Timesheet[[#This Row],[Break]])*24)</f>
        <v>8.25</v>
      </c>
      <c r="L2" s="23"/>
      <c r="M2" s="24"/>
    </row>
    <row r="3" spans="1:13" ht="15" customHeight="1" x14ac:dyDescent="0.2">
      <c r="A3" s="17" t="str">
        <f>TEXT(Timesheet[[#This Row],[Date]], "yyyy")</f>
        <v>2018</v>
      </c>
      <c r="B3" s="18">
        <f>ROUNDUP(MONTH(Timesheet[[#This Row],[Date]])/3,0)</f>
        <v>4</v>
      </c>
      <c r="C3" s="17" t="str">
        <f>TEXT(Timesheet[[#This Row],[Date]], "mmm")</f>
        <v>Oct</v>
      </c>
      <c r="D3" s="17" t="str">
        <f>TEXT(Timesheet[[#This Row],[Date]], "dd")</f>
        <v>02</v>
      </c>
      <c r="E3" s="19" t="str">
        <f>TEXT(Timesheet[[#This Row],[Date]], "ddd")</f>
        <v>Tue</v>
      </c>
      <c r="F3" s="17">
        <f>CEILING(Timesheet[[#This Row],[Date]]-1,7)+1</f>
        <v>43380</v>
      </c>
      <c r="G3" s="17">
        <v>43375</v>
      </c>
      <c r="H3" s="20">
        <v>0.35416666666666669</v>
      </c>
      <c r="I3" s="20">
        <v>0.70833333333333337</v>
      </c>
      <c r="J3" s="21">
        <v>1.0416666666666666E-2</v>
      </c>
      <c r="K3" s="22">
        <f>IF(Timesheet[[#This Row],[Finish]] =0, 0, (Timesheet[[#This Row],[Finish]]-Timesheet[[#This Row],[Start]])*24 - (Timesheet[[#This Row],[Break]])*24)</f>
        <v>8.25</v>
      </c>
      <c r="L3" s="23"/>
      <c r="M3" s="24"/>
    </row>
    <row r="4" spans="1:13" ht="15" customHeight="1" x14ac:dyDescent="0.2">
      <c r="A4" s="17" t="str">
        <f>TEXT(Timesheet[[#This Row],[Date]], "yyyy")</f>
        <v>2018</v>
      </c>
      <c r="B4" s="18">
        <f>ROUNDUP(MONTH(Timesheet[[#This Row],[Date]])/3,0)</f>
        <v>4</v>
      </c>
      <c r="C4" s="17" t="str">
        <f>TEXT(Timesheet[[#This Row],[Date]], "mmm")</f>
        <v>Oct</v>
      </c>
      <c r="D4" s="17" t="str">
        <f>TEXT(Timesheet[[#This Row],[Date]], "dd")</f>
        <v>03</v>
      </c>
      <c r="E4" s="19" t="str">
        <f>TEXT(Timesheet[[#This Row],[Date]], "ddd")</f>
        <v>Wed</v>
      </c>
      <c r="F4" s="17">
        <f>CEILING(Timesheet[[#This Row],[Date]]-1,7)+1</f>
        <v>43380</v>
      </c>
      <c r="G4" s="17">
        <v>43376</v>
      </c>
      <c r="H4" s="20">
        <v>0.35416666666666669</v>
      </c>
      <c r="I4" s="20">
        <v>0.70833333333333337</v>
      </c>
      <c r="J4" s="21">
        <v>1.0416666666666666E-2</v>
      </c>
      <c r="K4" s="22">
        <f>IF(Timesheet[[#This Row],[Finish]] =0, 0, (Timesheet[[#This Row],[Finish]]-Timesheet[[#This Row],[Start]])*24 - (Timesheet[[#This Row],[Break]])*24)</f>
        <v>8.25</v>
      </c>
      <c r="L4" s="23"/>
      <c r="M4" s="24"/>
    </row>
    <row r="5" spans="1:13" ht="15" customHeight="1" x14ac:dyDescent="0.2">
      <c r="A5" s="17" t="str">
        <f>TEXT(Timesheet[[#This Row],[Date]], "yyyy")</f>
        <v>2018</v>
      </c>
      <c r="B5" s="18">
        <f>ROUNDUP(MONTH(Timesheet[[#This Row],[Date]])/3,0)</f>
        <v>4</v>
      </c>
      <c r="C5" s="17" t="str">
        <f>TEXT(Timesheet[[#This Row],[Date]], "mmm")</f>
        <v>Oct</v>
      </c>
      <c r="D5" s="17" t="str">
        <f>TEXT(Timesheet[[#This Row],[Date]], "dd")</f>
        <v>04</v>
      </c>
      <c r="E5" s="19" t="str">
        <f>TEXT(Timesheet[[#This Row],[Date]], "ddd")</f>
        <v>Thu</v>
      </c>
      <c r="F5" s="17">
        <f>CEILING(Timesheet[[#This Row],[Date]]-1,7)+1</f>
        <v>43380</v>
      </c>
      <c r="G5" s="17">
        <v>43377</v>
      </c>
      <c r="H5" s="20">
        <v>0.35416666666666669</v>
      </c>
      <c r="I5" s="20">
        <v>0.70833333333333337</v>
      </c>
      <c r="J5" s="21">
        <v>1.0416666666666666E-2</v>
      </c>
      <c r="K5" s="22">
        <f>IF(Timesheet[[#This Row],[Finish]] =0, 0, (Timesheet[[#This Row],[Finish]]-Timesheet[[#This Row],[Start]])*24 - (Timesheet[[#This Row],[Break]])*24)</f>
        <v>8.25</v>
      </c>
      <c r="L5" s="23"/>
      <c r="M5" s="24"/>
    </row>
    <row r="6" spans="1:13" ht="15" customHeight="1" x14ac:dyDescent="0.2">
      <c r="A6" s="17" t="str">
        <f>TEXT(Timesheet[[#This Row],[Date]], "yyyy")</f>
        <v>2018</v>
      </c>
      <c r="B6" s="18">
        <f>ROUNDUP(MONTH(Timesheet[[#This Row],[Date]])/3,0)</f>
        <v>4</v>
      </c>
      <c r="C6" s="17" t="str">
        <f>TEXT(Timesheet[[#This Row],[Date]], "mmm")</f>
        <v>Oct</v>
      </c>
      <c r="D6" s="17" t="str">
        <f>TEXT(Timesheet[[#This Row],[Date]], "dd")</f>
        <v>05</v>
      </c>
      <c r="E6" s="19" t="str">
        <f>TEXT(Timesheet[[#This Row],[Date]], "ddd")</f>
        <v>Fri</v>
      </c>
      <c r="F6" s="17">
        <f>CEILING(Timesheet[[#This Row],[Date]]-1,7)+1</f>
        <v>43380</v>
      </c>
      <c r="G6" s="17">
        <v>43378</v>
      </c>
      <c r="H6" s="20">
        <v>0.35416666666666669</v>
      </c>
      <c r="I6" s="20">
        <v>0.70833333333333337</v>
      </c>
      <c r="J6" s="21">
        <v>1.0416666666666666E-2</v>
      </c>
      <c r="K6" s="22">
        <f>IF(Timesheet[[#This Row],[Finish]] =0, 0, (Timesheet[[#This Row],[Finish]]-Timesheet[[#This Row],[Start]])*24 - (Timesheet[[#This Row],[Break]])*24)</f>
        <v>8.25</v>
      </c>
      <c r="L6" s="23"/>
      <c r="M6" s="24"/>
    </row>
    <row r="7" spans="1:13" ht="15" customHeight="1" x14ac:dyDescent="0.2">
      <c r="A7" s="17"/>
      <c r="B7" s="18"/>
      <c r="C7" s="17"/>
      <c r="D7" s="17"/>
      <c r="E7" s="19"/>
      <c r="F7" s="17"/>
      <c r="G7" s="17"/>
      <c r="H7" s="20"/>
      <c r="I7" s="20"/>
      <c r="J7" s="21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1:M1048576">
    <cfRule type="expression" dxfId="1" priority="1">
      <formula>AND((INDIRECT("G"&amp;ROW()) &gt; 0), (INDIRECT("K"&amp;ROW())=0))</formula>
    </cfRule>
    <cfRule type="expression" dxfId="0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6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1" customFormat="1" ht="30" customHeight="1" x14ac:dyDescent="0.2">
      <c r="A1" s="11" t="s">
        <v>14</v>
      </c>
      <c r="B1" s="11" t="s">
        <v>15</v>
      </c>
      <c r="C1" s="11" t="s">
        <v>16</v>
      </c>
      <c r="D1" s="11" t="s">
        <v>17</v>
      </c>
      <c r="E1" s="11" t="s">
        <v>18</v>
      </c>
      <c r="F1" s="11" t="s">
        <v>19</v>
      </c>
      <c r="G1" s="11" t="s">
        <v>20</v>
      </c>
      <c r="H1" s="11" t="s">
        <v>21</v>
      </c>
      <c r="I1" s="11" t="s">
        <v>22</v>
      </c>
      <c r="J1" s="11" t="s">
        <v>23</v>
      </c>
      <c r="K1" s="14" t="s">
        <v>27</v>
      </c>
    </row>
    <row r="2" spans="1:11" ht="15" customHeight="1" x14ac:dyDescent="0.2">
      <c r="A2" s="12" t="s">
        <v>11</v>
      </c>
      <c r="C2" s="12" t="s">
        <v>12</v>
      </c>
      <c r="D2" s="12">
        <v>16</v>
      </c>
      <c r="E2" s="13">
        <v>43340.405868055554</v>
      </c>
      <c r="F2" s="12" t="s">
        <v>13</v>
      </c>
      <c r="G2" s="12" t="s">
        <v>24</v>
      </c>
      <c r="H2" s="12" t="s">
        <v>25</v>
      </c>
      <c r="I2" s="12">
        <v>13</v>
      </c>
      <c r="J2" s="12" t="s">
        <v>26</v>
      </c>
      <c r="K2" s="12" t="s">
        <v>28</v>
      </c>
    </row>
    <row r="3" spans="1:11" ht="15" customHeight="1" x14ac:dyDescent="0.2">
      <c r="A3" s="12" t="s">
        <v>11</v>
      </c>
      <c r="B3" s="12"/>
      <c r="C3" s="12" t="s">
        <v>12</v>
      </c>
      <c r="D3" s="12">
        <v>16</v>
      </c>
      <c r="E3" s="13">
        <v>43340.651550925926</v>
      </c>
      <c r="F3" s="12" t="s">
        <v>13</v>
      </c>
      <c r="G3" s="12" t="s">
        <v>29</v>
      </c>
      <c r="H3" s="12" t="s">
        <v>30</v>
      </c>
      <c r="I3" s="12">
        <v>91</v>
      </c>
      <c r="J3" s="12" t="s">
        <v>31</v>
      </c>
      <c r="K3" s="4" t="s">
        <v>32</v>
      </c>
    </row>
    <row r="4" spans="1:11" ht="15" customHeight="1" x14ac:dyDescent="0.2">
      <c r="A4" s="12" t="s">
        <v>11</v>
      </c>
      <c r="B4" s="12"/>
      <c r="C4" s="12" t="s">
        <v>12</v>
      </c>
      <c r="D4" s="12">
        <v>16</v>
      </c>
      <c r="E4" s="13">
        <v>43341.485034722224</v>
      </c>
      <c r="F4" s="12" t="s">
        <v>13</v>
      </c>
      <c r="G4" s="12" t="s">
        <v>29</v>
      </c>
      <c r="H4" s="4" t="s">
        <v>996</v>
      </c>
      <c r="I4" s="12">
        <v>-2146697208</v>
      </c>
      <c r="J4" s="12" t="s">
        <v>33</v>
      </c>
      <c r="K4" s="12" t="s">
        <v>34</v>
      </c>
    </row>
    <row r="5" spans="1:11" ht="15" customHeight="1" x14ac:dyDescent="0.2">
      <c r="A5" s="12" t="s">
        <v>11</v>
      </c>
      <c r="B5" s="12" t="s">
        <v>997</v>
      </c>
      <c r="C5" s="12" t="s">
        <v>12</v>
      </c>
      <c r="D5" s="12">
        <v>16</v>
      </c>
      <c r="E5" s="13">
        <v>43348.449803240743</v>
      </c>
      <c r="F5" s="12" t="s">
        <v>998</v>
      </c>
      <c r="G5" s="12" t="s">
        <v>24</v>
      </c>
      <c r="H5" s="12" t="s">
        <v>999</v>
      </c>
      <c r="I5" s="12">
        <v>9</v>
      </c>
      <c r="J5" s="12" t="s">
        <v>1000</v>
      </c>
      <c r="K5" s="12"/>
    </row>
    <row r="6" spans="1:11" ht="15" customHeight="1" x14ac:dyDescent="0.2">
      <c r="A6" s="12" t="s">
        <v>11</v>
      </c>
      <c r="B6" s="12" t="s">
        <v>997</v>
      </c>
      <c r="C6" s="12" t="s">
        <v>12</v>
      </c>
      <c r="D6" s="12">
        <v>16</v>
      </c>
      <c r="E6" s="13">
        <v>43348.450509259259</v>
      </c>
      <c r="F6" s="12" t="s">
        <v>998</v>
      </c>
      <c r="G6" s="12" t="s">
        <v>24</v>
      </c>
      <c r="H6" s="12" t="s">
        <v>999</v>
      </c>
      <c r="I6" s="12">
        <v>9</v>
      </c>
      <c r="J6" s="12" t="s">
        <v>1000</v>
      </c>
      <c r="K6" s="1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getSupertip="GetSupertip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Tools" id="grpOptions" imageMso="PropertySheet"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  <toggleButton id="tglShowErrorLog" label="View Errors" getPressed="GetPressed" onAction="OnAction_Boolean" imageMso="MacroSecurity" size="normal" screentip="Show/Hide Error Log" supertip="This will show or hide a sheet with the error log."/>
          <control idMso="VisualBasic" size="normal" visible="false"/>
          <button id="btnExportCode" label="Export Code" onAction="OnAction_Button" imageMso="VisualBasic" size="normal" visible="true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getSupertip="GetSupertip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2018-10-04T02:25:57Z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1.8</vt:lpwstr>
  </property>
  <property fmtid="{D5CDD505-2E9C-101B-9397-08002B2CF9AE}" pid="4" name="App_Name">
    <vt:lpwstr>Timesheet</vt:lpwstr>
  </property>
  <property fmtid="{D5CDD505-2E9C-101B-9397-08002B2CF9AE}" pid="5" name="App_ReleaseDate">
    <vt:filetime>2018-09-19T05:59:59Z</vt:filetime>
  </property>
  <property fmtid="{D5CDD505-2E9C-101B-9397-08002B2CF9AE}" pid="6" name="ColumnName_Address">
    <vt:lpwstr>Address</vt:lpwstr>
  </property>
  <property fmtid="{D5CDD505-2E9C-101B-9397-08002B2CF9AE}" pid="7" name="ColumnName_Date">
    <vt:lpwstr>Date</vt:lpwstr>
  </property>
  <property fmtid="{D5CDD505-2E9C-101B-9397-08002B2CF9AE}" pid="8" name="ColumnName_TimeBreak">
    <vt:lpwstr>Break</vt:lpwstr>
  </property>
  <property fmtid="{D5CDD505-2E9C-101B-9397-08002B2CF9AE}" pid="9" name="ColumnName_TimeEnd">
    <vt:lpwstr>Finish</vt:lpwstr>
  </property>
  <property fmtid="{D5CDD505-2E9C-101B-9397-08002B2CF9AE}" pid="10" name="ColumnName_TimeStart">
    <vt:lpwstr>Start</vt:lpwstr>
  </property>
  <property fmtid="{D5CDD505-2E9C-101B-9397-08002B2CF9AE}" pid="11" name="ColumnName_Title">
    <vt:lpwstr>Title</vt:lpwstr>
  </property>
  <property fmtid="{D5CDD505-2E9C-101B-9397-08002B2CF9AE}" pid="12" name="Default_DateEnd">
    <vt:filetime>2018-10-05T14:00:00Z</vt:filetime>
  </property>
  <property fmtid="{D5CDD505-2E9C-101B-9397-08002B2CF9AE}" pid="13" name="Default_DateStart">
    <vt:filetime>2018-09-29T14:00:00Z</vt:filetime>
  </property>
  <property fmtid="{D5CDD505-2E9C-101B-9397-08002B2CF9AE}" pid="14" name="Default_TimeBreak">
    <vt:lpwstr>00:15</vt:lpwstr>
  </property>
  <property fmtid="{D5CDD505-2E9C-101B-9397-08002B2CF9AE}" pid="15" name="Default_TimeEnd">
    <vt:lpwstr>17:00</vt:lpwstr>
  </property>
  <property fmtid="{D5CDD505-2E9C-101B-9397-08002B2CF9AE}" pid="16" name="Default_TimeStart">
    <vt:lpwstr>08:30</vt:lpwstr>
  </property>
  <property fmtid="{D5CDD505-2E9C-101B-9397-08002B2CF9AE}" pid="17" name="Google_LocalSite">
    <vt:lpwstr>https://www.google.com.au/</vt:lpwstr>
  </property>
  <property fmtid="{D5CDD505-2E9C-101B-9397-08002B2CF9AE}" pid="18" name="Google_TimelineFilterApply">
    <vt:bool>true</vt:bool>
  </property>
  <property fmtid="{D5CDD505-2E9C-101B-9397-08002B2CF9AE}" pid="19" name="Google_TimelineFilterTitle">
    <vt:lpwstr>Work; Driving; Moving</vt:lpwstr>
  </property>
  <property fmtid="{D5CDD505-2E9C-101B-9397-08002B2CF9AE}" pid="20" name="Google_TimelineToday">
    <vt:lpwstr>maps/timeline?hl=en&amp;authuser=0&amp;pb=!1m2!1m1!1s2018-10-04</vt:lpwstr>
  </property>
  <property fmtid="{D5CDD505-2E9C-101B-9397-08002B2CF9AE}" pid="21" name="Google_TimezoneOffset">
    <vt:r8>10</vt:r8>
  </property>
  <property fmtid="{D5CDD505-2E9C-101B-9397-08002B2CF9AE}" pid="22" name="Google_TimezoneUtc">
    <vt:lpwstr>+10:00 - Australia (Australia/Melbourne)</vt:lpwstr>
  </property>
  <property fmtid="{D5CDD505-2E9C-101B-9397-08002B2CF9AE}" pid="23" name="Options_ShowErrorLog">
    <vt:bool>false</vt:bool>
  </property>
  <property fmtid="{D5CDD505-2E9C-101B-9397-08002B2CF9AE}" pid="24" name="Week_IsSun">
    <vt:bool>false</vt:bool>
  </property>
  <property fmtid="{D5CDD505-2E9C-101B-9397-08002B2CF9AE}" pid="25" name="Week_IsMon">
    <vt:bool>true</vt:bool>
  </property>
  <property fmtid="{D5CDD505-2E9C-101B-9397-08002B2CF9AE}" pid="26" name="Week_IsTue">
    <vt:bool>true</vt:bool>
  </property>
  <property fmtid="{D5CDD505-2E9C-101B-9397-08002B2CF9AE}" pid="27" name="Week_IsWed">
    <vt:bool>true</vt:bool>
  </property>
  <property fmtid="{D5CDD505-2E9C-101B-9397-08002B2CF9AE}" pid="28" name="Week_IsThu">
    <vt:bool>true</vt:bool>
  </property>
  <property fmtid="{D5CDD505-2E9C-101B-9397-08002B2CF9AE}" pid="29" name="Week_IsFri">
    <vt:bool>true</vt:bool>
  </property>
  <property fmtid="{D5CDD505-2E9C-101B-9397-08002B2CF9AE}" pid="30" name="Week_IsSat">
    <vt:bool>false</vt:bool>
  </property>
</Properties>
</file>